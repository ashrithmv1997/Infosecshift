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BL17981\CloudDrive\Shared With Me\SOC\Daily Report\2026\August\07-08-2026\"/>
    </mc:Choice>
  </mc:AlternateContent>
  <xr:revisionPtr revIDLastSave="0" documentId="13_ncr:1_{F039B0C3-4EEC-4063-B701-B64131427B59}" xr6:coauthVersionLast="47" xr6:coauthVersionMax="47" xr10:uidLastSave="{00000000-0000-0000-0000-000000000000}"/>
  <bookViews>
    <workbookView xWindow="-120" yWindow="-120" windowWidth="20730" windowHeight="11040" xr2:uid="{8042DC55-F6DE-4B10-816B-EA8EBC0B53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" i="1" l="1"/>
  <c r="J33" i="1"/>
  <c r="I33" i="1"/>
  <c r="H33" i="1"/>
  <c r="A33" i="1"/>
  <c r="K32" i="1"/>
  <c r="J32" i="1"/>
  <c r="I32" i="1"/>
  <c r="H32" i="1"/>
  <c r="A32" i="1"/>
  <c r="K31" i="1"/>
  <c r="J31" i="1"/>
  <c r="I31" i="1"/>
  <c r="H31" i="1"/>
  <c r="A31" i="1"/>
  <c r="K30" i="1"/>
  <c r="J30" i="1"/>
  <c r="I30" i="1"/>
  <c r="H30" i="1"/>
  <c r="A30" i="1"/>
  <c r="K29" i="1"/>
  <c r="J29" i="1"/>
  <c r="I29" i="1"/>
  <c r="H29" i="1"/>
  <c r="A29" i="1"/>
  <c r="K28" i="1"/>
  <c r="J28" i="1"/>
  <c r="I28" i="1"/>
  <c r="H28" i="1"/>
  <c r="A28" i="1"/>
  <c r="K27" i="1"/>
  <c r="J27" i="1"/>
  <c r="I27" i="1"/>
  <c r="H27" i="1"/>
  <c r="A27" i="1"/>
  <c r="K26" i="1"/>
  <c r="J26" i="1"/>
  <c r="I26" i="1"/>
  <c r="H26" i="1"/>
  <c r="A26" i="1"/>
  <c r="K25" i="1"/>
  <c r="J25" i="1"/>
  <c r="I25" i="1"/>
  <c r="H25" i="1"/>
  <c r="A25" i="1"/>
  <c r="K24" i="1"/>
  <c r="J24" i="1"/>
  <c r="I24" i="1"/>
  <c r="H24" i="1"/>
  <c r="A24" i="1"/>
  <c r="K23" i="1"/>
  <c r="J23" i="1"/>
  <c r="I23" i="1"/>
  <c r="H23" i="1"/>
  <c r="A23" i="1"/>
  <c r="K22" i="1"/>
  <c r="J22" i="1"/>
  <c r="I22" i="1"/>
  <c r="H22" i="1"/>
  <c r="A22" i="1"/>
  <c r="K21" i="1"/>
  <c r="J21" i="1"/>
  <c r="I21" i="1"/>
  <c r="H21" i="1"/>
  <c r="A21" i="1"/>
  <c r="K20" i="1"/>
  <c r="J20" i="1"/>
  <c r="I20" i="1"/>
  <c r="H20" i="1"/>
  <c r="A20" i="1"/>
  <c r="K19" i="1"/>
  <c r="J19" i="1"/>
  <c r="I19" i="1"/>
  <c r="H19" i="1"/>
  <c r="A19" i="1"/>
  <c r="K18" i="1"/>
  <c r="J18" i="1"/>
  <c r="I18" i="1"/>
  <c r="H18" i="1"/>
  <c r="A18" i="1"/>
  <c r="K17" i="1"/>
  <c r="J17" i="1"/>
  <c r="I17" i="1"/>
  <c r="H17" i="1"/>
  <c r="A17" i="1"/>
  <c r="K16" i="1"/>
  <c r="J16" i="1"/>
  <c r="I16" i="1"/>
  <c r="H16" i="1"/>
  <c r="A16" i="1"/>
  <c r="K15" i="1"/>
  <c r="J15" i="1"/>
  <c r="I15" i="1"/>
  <c r="H15" i="1"/>
  <c r="A15" i="1"/>
  <c r="K14" i="1"/>
  <c r="J14" i="1"/>
  <c r="I14" i="1"/>
  <c r="H14" i="1"/>
  <c r="A14" i="1"/>
  <c r="K13" i="1"/>
  <c r="J13" i="1"/>
  <c r="I13" i="1"/>
  <c r="H13" i="1"/>
  <c r="A13" i="1"/>
  <c r="V12" i="1"/>
  <c r="K12" i="1"/>
  <c r="J12" i="1"/>
  <c r="I12" i="1"/>
  <c r="H12" i="1"/>
  <c r="A12" i="1"/>
  <c r="K11" i="1"/>
  <c r="J11" i="1"/>
  <c r="I11" i="1"/>
  <c r="H11" i="1"/>
  <c r="A11" i="1"/>
  <c r="K10" i="1"/>
  <c r="J10" i="1"/>
  <c r="I10" i="1"/>
  <c r="H10" i="1"/>
  <c r="A10" i="1"/>
  <c r="K9" i="1"/>
  <c r="J9" i="1"/>
  <c r="I9" i="1"/>
  <c r="H9" i="1"/>
  <c r="A9" i="1"/>
  <c r="K8" i="1"/>
  <c r="J8" i="1"/>
  <c r="I8" i="1"/>
  <c r="H8" i="1"/>
  <c r="A8" i="1"/>
  <c r="K7" i="1"/>
  <c r="J7" i="1"/>
  <c r="I7" i="1"/>
  <c r="H7" i="1"/>
  <c r="A7" i="1"/>
  <c r="R6" i="1"/>
  <c r="Q6" i="1"/>
  <c r="P6" i="1"/>
  <c r="O6" i="1"/>
  <c r="S6" i="1" s="1"/>
  <c r="N6" i="1"/>
  <c r="M6" i="1"/>
  <c r="K6" i="1"/>
  <c r="J6" i="1"/>
  <c r="I6" i="1"/>
  <c r="H6" i="1"/>
  <c r="A6" i="1"/>
  <c r="S5" i="1"/>
  <c r="R5" i="1"/>
  <c r="Q5" i="1"/>
  <c r="P5" i="1"/>
  <c r="O5" i="1"/>
  <c r="N5" i="1"/>
  <c r="M5" i="1"/>
  <c r="K5" i="1"/>
  <c r="J5" i="1"/>
  <c r="I5" i="1"/>
  <c r="H5" i="1"/>
  <c r="A5" i="1"/>
  <c r="R4" i="1"/>
  <c r="Q4" i="1"/>
  <c r="P4" i="1"/>
  <c r="O4" i="1"/>
  <c r="S4" i="1" s="1"/>
  <c r="N4" i="1"/>
  <c r="M4" i="1"/>
  <c r="K4" i="1"/>
  <c r="J4" i="1"/>
  <c r="I4" i="1"/>
  <c r="H4" i="1"/>
  <c r="A4" i="1"/>
  <c r="S3" i="1"/>
  <c r="R3" i="1"/>
  <c r="Q3" i="1"/>
  <c r="P3" i="1"/>
  <c r="O3" i="1"/>
  <c r="N3" i="1"/>
  <c r="M3" i="1"/>
  <c r="K3" i="1"/>
  <c r="J3" i="1"/>
  <c r="I3" i="1"/>
  <c r="H3" i="1"/>
  <c r="A3" i="1"/>
  <c r="R2" i="1"/>
  <c r="Q2" i="1"/>
  <c r="P2" i="1"/>
  <c r="O2" i="1"/>
  <c r="S2" i="1" s="1"/>
  <c r="N2" i="1"/>
  <c r="M2" i="1"/>
  <c r="A1" i="1"/>
</calcChain>
</file>

<file path=xl/sharedStrings.xml><?xml version="1.0" encoding="utf-8"?>
<sst xmlns="http://schemas.openxmlformats.org/spreadsheetml/2006/main" count="186" uniqueCount="24">
  <si>
    <t>Shift Slots</t>
  </si>
  <si>
    <t>STAFF NAME</t>
  </si>
  <si>
    <t>Total Working Days</t>
  </si>
  <si>
    <t>S1</t>
  </si>
  <si>
    <t>S2</t>
  </si>
  <si>
    <t>S3</t>
  </si>
  <si>
    <t>OFF</t>
  </si>
  <si>
    <t>Total Working Hours</t>
  </si>
  <si>
    <t>Day</t>
  </si>
  <si>
    <t>JENSUN</t>
  </si>
  <si>
    <t>RAHUL</t>
  </si>
  <si>
    <t>ABHIJITH</t>
  </si>
  <si>
    <t>GEORGE</t>
  </si>
  <si>
    <t>PAVAN</t>
  </si>
  <si>
    <t>Shift Timings</t>
  </si>
  <si>
    <t>Number of holidays</t>
  </si>
  <si>
    <t>Slots</t>
  </si>
  <si>
    <t>Timing</t>
  </si>
  <si>
    <t>Number of working Days</t>
  </si>
  <si>
    <t>07:30 AM to 03:30 PM (08:00 Hrs)</t>
  </si>
  <si>
    <t>Month</t>
  </si>
  <si>
    <t>01:30 PM to 10:00 PM (08:30 Hrs)</t>
  </si>
  <si>
    <t>Total Woking Hours per person</t>
  </si>
  <si>
    <t>09:30 PM to 08:00 AM (10:30 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</si>
</sst>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dddd\ \ \-\ \ \ mmm\ dd"/>
    <numFmt numFmtId="166" formatCode="[$-409]mmmm\-yy;@"/>
  </numFmts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gradientFill degree="90">
        <stop position="0">
          <color theme="0"/>
        </stop>
        <stop position="1">
          <color theme="7" tint="0.80001220740379042"/>
        </stop>
      </gradientFill>
    </fill>
    <fill>
      <patternFill patternType="solid">
        <fgColor theme="0"/>
        <bgColor indexed="64"/>
      </patternFill>
    </fill>
    <fill>
      <gradientFill degree="45">
        <stop position="0">
          <color theme="0"/>
        </stop>
        <stop position="1">
          <color rgb="FFFF0000"/>
        </stop>
      </gradient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64" fontId="1" fillId="2" borderId="1" xfId="0" applyNumberFormat="1" applyFont="1" applyFill="1" applyBorder="1" applyAlignment="1">
      <alignment horizontal="center"/>
    </xf>
    <xf numFmtId="0" fontId="0" fillId="0" borderId="0" xfId="0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1" fillId="2" borderId="1" xfId="0" applyFont="1" applyFill="1" applyBorder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  <protection locked="0"/>
    </xf>
    <xf numFmtId="165" fontId="0" fillId="4" borderId="1" xfId="0" applyNumberFormat="1" applyFill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6" fontId="0" fillId="0" borderId="1" xfId="0" applyNumberFormat="1" applyBorder="1" applyAlignment="1" applyProtection="1">
      <alignment horizontal="center" vertical="center"/>
      <protection locked="0"/>
    </xf>
    <xf numFmtId="0" fontId="1" fillId="6" borderId="1" xfId="0" applyFont="1" applyFill="1" applyBorder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89">
    <dxf>
      <fill>
        <gradientFill degree="45">
          <stop position="0">
            <color theme="0"/>
          </stop>
          <stop position="1">
            <color rgb="FFFF0000"/>
          </stop>
        </gradientFill>
      </fill>
    </dxf>
    <dxf>
      <font>
        <color rgb="FF9C0006"/>
      </font>
      <fill>
        <gradientFill degree="45">
          <stop position="0">
            <color theme="0"/>
          </stop>
          <stop position="1">
            <color rgb="FFFF0000"/>
          </stop>
        </gradientFill>
      </fill>
    </dxf>
    <dxf>
      <font>
        <color auto="1"/>
        <name val="Calibri Light"/>
        <scheme val="none"/>
      </font>
      <fill>
        <gradientFill degree="45">
          <stop position="0">
            <color theme="0"/>
          </stop>
          <stop position="1">
            <color theme="4"/>
          </stop>
        </gradientFill>
      </fill>
    </dxf>
    <dxf>
      <fill>
        <gradientFill degree="45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>
          <bgColor rgb="FFFF0000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theme="9" tint="0.59999389629810485"/>
          </stop>
        </gradientFill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F0A4-BAEE-45C4-AED4-D337A1FC0E99}">
  <dimension ref="A1:V33"/>
  <sheetViews>
    <sheetView tabSelected="1" workbookViewId="0">
      <selection sqref="A1:XFD1048576"/>
    </sheetView>
  </sheetViews>
  <sheetFormatPr defaultColWidth="7.75" defaultRowHeight="14.25"/>
  <cols>
    <col min="1" max="1" width="19.75" bestFit="1" customWidth="1"/>
    <col min="2" max="2" width="9.875" bestFit="1" customWidth="1"/>
    <col min="3" max="3" width="8.5" bestFit="1" customWidth="1"/>
    <col min="4" max="4" width="11.125" bestFit="1" customWidth="1"/>
    <col min="5" max="5" width="10.625" bestFit="1" customWidth="1"/>
    <col min="6" max="6" width="8.625" bestFit="1" customWidth="1"/>
    <col min="7" max="7" width="5.875" bestFit="1" customWidth="1"/>
    <col min="8" max="8" width="3.75" bestFit="1" customWidth="1"/>
    <col min="9" max="10" width="4" bestFit="1" customWidth="1"/>
    <col min="11" max="11" width="5.625" bestFit="1" customWidth="1"/>
    <col min="12" max="12" width="7.25" customWidth="1"/>
    <col min="13" max="13" width="15.375" bestFit="1" customWidth="1"/>
    <col min="14" max="14" width="21.5" bestFit="1" customWidth="1"/>
    <col min="15" max="15" width="3.75" bestFit="1" customWidth="1"/>
    <col min="16" max="17" width="4" bestFit="1" customWidth="1"/>
    <col min="18" max="18" width="5.625" bestFit="1" customWidth="1"/>
    <col min="19" max="19" width="22.5" bestFit="1" customWidth="1"/>
    <col min="22" max="22" width="9.375" bestFit="1" customWidth="1"/>
  </cols>
  <sheetData>
    <row r="1" spans="1:22" ht="15">
      <c r="A1" s="1">
        <f>$V$11</f>
        <v>46235</v>
      </c>
      <c r="B1" s="1"/>
      <c r="C1" s="1"/>
      <c r="D1" s="1"/>
      <c r="E1" s="1"/>
      <c r="F1" s="1"/>
      <c r="G1" s="2"/>
      <c r="H1" s="3" t="s">
        <v>0</v>
      </c>
      <c r="I1" s="4"/>
      <c r="J1" s="4"/>
      <c r="K1" s="4"/>
      <c r="L1" s="5"/>
      <c r="M1" s="6" t="s">
        <v>1</v>
      </c>
      <c r="N1" s="7" t="s">
        <v>2</v>
      </c>
      <c r="O1" s="7" t="s">
        <v>3</v>
      </c>
      <c r="P1" s="7" t="s">
        <v>4</v>
      </c>
      <c r="Q1" s="7" t="s">
        <v>5</v>
      </c>
      <c r="R1" s="7" t="s">
        <v>6</v>
      </c>
      <c r="S1" s="7" t="s">
        <v>7</v>
      </c>
    </row>
    <row r="2" spans="1:22" ht="15">
      <c r="A2" s="7" t="s">
        <v>8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2"/>
      <c r="H2" s="7" t="s">
        <v>3</v>
      </c>
      <c r="I2" s="7" t="s">
        <v>4</v>
      </c>
      <c r="J2" s="7" t="s">
        <v>5</v>
      </c>
      <c r="K2" s="7" t="s">
        <v>6</v>
      </c>
      <c r="L2" s="5"/>
      <c r="M2" s="9" t="str">
        <f>B2</f>
        <v>JENSUN</v>
      </c>
      <c r="N2" s="10">
        <f>$V$10</f>
        <v>20</v>
      </c>
      <c r="O2" s="10">
        <f>COUNTIF($B$3:$B$33,"S1")</f>
        <v>9</v>
      </c>
      <c r="P2" s="10">
        <f>COUNTIF($B$3:$B$33,"S2")</f>
        <v>4</v>
      </c>
      <c r="Q2" s="10">
        <f>COUNTIF($B$3:$B$33,"S3")</f>
        <v>6</v>
      </c>
      <c r="R2" s="10">
        <f>COUNTIF(B$3:B$33,"OFF")</f>
        <v>12</v>
      </c>
      <c r="S2" s="10">
        <f>SUM((O2*8),(P2*8.5),(Q2*10.5))</f>
        <v>169</v>
      </c>
    </row>
    <row r="3" spans="1:22" ht="15">
      <c r="A3" s="11">
        <f>$V$11</f>
        <v>46235</v>
      </c>
      <c r="B3" s="12" t="s">
        <v>3</v>
      </c>
      <c r="C3" s="13" t="s">
        <v>6</v>
      </c>
      <c r="D3" s="13" t="s">
        <v>4</v>
      </c>
      <c r="E3" s="13" t="s">
        <v>5</v>
      </c>
      <c r="F3" s="13" t="s">
        <v>6</v>
      </c>
      <c r="G3" s="2"/>
      <c r="H3" s="10">
        <f>COUNTIF($B3:$F3,"S1")</f>
        <v>1</v>
      </c>
      <c r="I3" s="10">
        <f>COUNTIF(B3:F3,"S2")</f>
        <v>1</v>
      </c>
      <c r="J3" s="10">
        <f>COUNTIF(B3:F3,"S3")</f>
        <v>1</v>
      </c>
      <c r="K3" s="10">
        <f>COUNTIF(B3:F3,"OFF")</f>
        <v>2</v>
      </c>
      <c r="L3" s="5"/>
      <c r="M3" s="9" t="str">
        <f>C2</f>
        <v>RAHUL</v>
      </c>
      <c r="N3" s="10">
        <f>$V$10</f>
        <v>20</v>
      </c>
      <c r="O3" s="10">
        <f>COUNTIF($C$3:$C$33,"S1")</f>
        <v>4</v>
      </c>
      <c r="P3" s="10">
        <f>COUNTIF($C$3:$C$33,"S2")</f>
        <v>8</v>
      </c>
      <c r="Q3" s="10">
        <f>COUNTIF($C$3:$C$33,"S3")</f>
        <v>7</v>
      </c>
      <c r="R3" s="10">
        <f>COUNTIF(C$3:C$33,"OFF")</f>
        <v>12</v>
      </c>
      <c r="S3" s="10">
        <f t="shared" ref="S3:S5" si="0">SUM((O3*8),(P3*8.5),(Q3*10.5))</f>
        <v>173.5</v>
      </c>
    </row>
    <row r="4" spans="1:22" ht="15">
      <c r="A4" s="14">
        <f>$V$11+1</f>
        <v>46236</v>
      </c>
      <c r="B4" s="13" t="s">
        <v>5</v>
      </c>
      <c r="C4" s="13" t="s">
        <v>6</v>
      </c>
      <c r="D4" s="13" t="s">
        <v>3</v>
      </c>
      <c r="E4" s="13" t="s">
        <v>6</v>
      </c>
      <c r="F4" s="13" t="s">
        <v>4</v>
      </c>
      <c r="G4" s="2"/>
      <c r="H4" s="10">
        <f t="shared" ref="H4:H32" si="1">COUNTIF($B4:$F4,"S1")</f>
        <v>1</v>
      </c>
      <c r="I4" s="10">
        <f t="shared" ref="I4:I30" si="2">COUNTIF(B4:F4,"S2")</f>
        <v>1</v>
      </c>
      <c r="J4" s="10">
        <f t="shared" ref="J4:J30" si="3">COUNTIF(B4:F4,"S3")</f>
        <v>1</v>
      </c>
      <c r="K4" s="10">
        <f t="shared" ref="K4:K30" si="4">COUNTIF(B4:F4,"OFF")</f>
        <v>2</v>
      </c>
      <c r="L4" s="5"/>
      <c r="M4" s="9" t="str">
        <f>D2</f>
        <v>ABHIJITH</v>
      </c>
      <c r="N4" s="10">
        <f>$V$10</f>
        <v>20</v>
      </c>
      <c r="O4" s="10">
        <f>COUNTIF($D$3:$D$33,"S1")</f>
        <v>3</v>
      </c>
      <c r="P4" s="10">
        <f>COUNTIF($D$3:$D$33,"S2")</f>
        <v>10</v>
      </c>
      <c r="Q4" s="10">
        <f>COUNTIF($D$3:$D$33,"S3")</f>
        <v>6</v>
      </c>
      <c r="R4" s="10">
        <f>COUNTIF(D$3:D$33,"OFF")</f>
        <v>12</v>
      </c>
      <c r="S4" s="10">
        <f>SUM((O4*8),(P4*8.5),(Q4*10.5))</f>
        <v>172</v>
      </c>
    </row>
    <row r="5" spans="1:22" ht="15">
      <c r="A5" s="11">
        <f>$V$11+2</f>
        <v>46237</v>
      </c>
      <c r="B5" s="13" t="s">
        <v>5</v>
      </c>
      <c r="C5" s="13" t="s">
        <v>4</v>
      </c>
      <c r="D5" s="13" t="s">
        <v>6</v>
      </c>
      <c r="E5" s="13" t="s">
        <v>6</v>
      </c>
      <c r="F5" s="13" t="s">
        <v>3</v>
      </c>
      <c r="G5" s="2"/>
      <c r="H5" s="10">
        <f t="shared" si="1"/>
        <v>1</v>
      </c>
      <c r="I5" s="10">
        <f t="shared" si="2"/>
        <v>1</v>
      </c>
      <c r="J5" s="10">
        <f t="shared" si="3"/>
        <v>1</v>
      </c>
      <c r="K5" s="10">
        <f t="shared" si="4"/>
        <v>2</v>
      </c>
      <c r="L5" s="5"/>
      <c r="M5" s="9" t="str">
        <f>E2</f>
        <v>GEORGE</v>
      </c>
      <c r="N5" s="10">
        <f>$V$10</f>
        <v>20</v>
      </c>
      <c r="O5" s="10">
        <f>COUNTIF($E$3:$E$33,"S1")</f>
        <v>8</v>
      </c>
      <c r="P5" s="10">
        <f>COUNTIF($E$3:$E$33,"S2")</f>
        <v>4</v>
      </c>
      <c r="Q5" s="10">
        <f>COUNTIF($E$3:$E$33,"S3")</f>
        <v>7</v>
      </c>
      <c r="R5" s="10">
        <f>COUNTIF(E$3:E$33,"OFF")</f>
        <v>12</v>
      </c>
      <c r="S5" s="10">
        <f t="shared" si="0"/>
        <v>171.5</v>
      </c>
    </row>
    <row r="6" spans="1:22" ht="15">
      <c r="A6" s="11">
        <f>$V$11+3</f>
        <v>46238</v>
      </c>
      <c r="B6" s="15" t="s">
        <v>5</v>
      </c>
      <c r="C6" s="13" t="s">
        <v>3</v>
      </c>
      <c r="D6" s="13" t="s">
        <v>6</v>
      </c>
      <c r="E6" s="13" t="s">
        <v>4</v>
      </c>
      <c r="F6" s="13" t="s">
        <v>6</v>
      </c>
      <c r="G6" s="2"/>
      <c r="H6" s="10">
        <f t="shared" si="1"/>
        <v>1</v>
      </c>
      <c r="I6" s="10">
        <f t="shared" si="2"/>
        <v>1</v>
      </c>
      <c r="J6" s="10">
        <f t="shared" si="3"/>
        <v>1</v>
      </c>
      <c r="K6" s="10">
        <f t="shared" si="4"/>
        <v>2</v>
      </c>
      <c r="L6" s="5"/>
      <c r="M6" s="9" t="str">
        <f>F2</f>
        <v>PAVAN</v>
      </c>
      <c r="N6" s="10">
        <f>$V$10</f>
        <v>20</v>
      </c>
      <c r="O6" s="10">
        <f>COUNTIF($F$3:$F$33,"S1")</f>
        <v>9</v>
      </c>
      <c r="P6" s="10">
        <f>COUNTIF($F$3:$F$33,"S2")</f>
        <v>5</v>
      </c>
      <c r="Q6" s="10">
        <f>COUNTIF($F$3:$F$33,"S3")</f>
        <v>5</v>
      </c>
      <c r="R6" s="10">
        <f>COUNTIF(F$3:F$33,"OFF")</f>
        <v>12</v>
      </c>
      <c r="S6" s="10">
        <f>SUM((O6*8),(P6*8.5),(Q6*10.5))</f>
        <v>167</v>
      </c>
    </row>
    <row r="7" spans="1:22" ht="15">
      <c r="A7" s="11">
        <f>$V$11+4</f>
        <v>46239</v>
      </c>
      <c r="B7" s="13" t="s">
        <v>6</v>
      </c>
      <c r="C7" s="13" t="s">
        <v>5</v>
      </c>
      <c r="D7" s="13" t="s">
        <v>4</v>
      </c>
      <c r="E7" s="13" t="s">
        <v>3</v>
      </c>
      <c r="F7" s="13" t="s">
        <v>6</v>
      </c>
      <c r="G7" s="2"/>
      <c r="H7" s="10">
        <f t="shared" si="1"/>
        <v>1</v>
      </c>
      <c r="I7" s="10">
        <f t="shared" si="2"/>
        <v>1</v>
      </c>
      <c r="J7" s="10">
        <f t="shared" si="3"/>
        <v>1</v>
      </c>
      <c r="K7" s="10">
        <f t="shared" si="4"/>
        <v>2</v>
      </c>
      <c r="L7" s="5"/>
      <c r="M7" s="5"/>
      <c r="N7" s="5"/>
      <c r="O7" s="5"/>
      <c r="P7" s="5"/>
      <c r="Q7" s="5"/>
      <c r="R7" s="5"/>
      <c r="S7" s="5"/>
    </row>
    <row r="8" spans="1:22" ht="15">
      <c r="A8" s="11">
        <f>$V$11+5</f>
        <v>46240</v>
      </c>
      <c r="B8" s="13" t="s">
        <v>6</v>
      </c>
      <c r="C8" s="13" t="s">
        <v>5</v>
      </c>
      <c r="D8" s="13" t="s">
        <v>6</v>
      </c>
      <c r="E8" s="13" t="s">
        <v>3</v>
      </c>
      <c r="F8" s="13" t="s">
        <v>4</v>
      </c>
      <c r="G8" s="2"/>
      <c r="H8" s="10">
        <f t="shared" si="1"/>
        <v>1</v>
      </c>
      <c r="I8" s="10">
        <f t="shared" si="2"/>
        <v>1</v>
      </c>
      <c r="J8" s="10">
        <f t="shared" si="3"/>
        <v>1</v>
      </c>
      <c r="K8" s="10">
        <f t="shared" si="4"/>
        <v>2</v>
      </c>
      <c r="L8" s="5"/>
      <c r="M8" s="5"/>
      <c r="N8" s="5"/>
      <c r="O8" s="5"/>
      <c r="P8" s="5"/>
      <c r="Q8" s="5"/>
      <c r="R8" s="5"/>
      <c r="S8" s="5"/>
    </row>
    <row r="9" spans="1:22" ht="15">
      <c r="A9" s="11">
        <f>$V$11+6</f>
        <v>46241</v>
      </c>
      <c r="B9" s="13" t="s">
        <v>3</v>
      </c>
      <c r="C9" s="13" t="s">
        <v>5</v>
      </c>
      <c r="D9" s="13" t="s">
        <v>4</v>
      </c>
      <c r="E9" s="13" t="s">
        <v>6</v>
      </c>
      <c r="F9" s="13" t="s">
        <v>6</v>
      </c>
      <c r="G9" s="2"/>
      <c r="H9" s="10">
        <f t="shared" si="1"/>
        <v>1</v>
      </c>
      <c r="I9" s="10">
        <f t="shared" si="2"/>
        <v>1</v>
      </c>
      <c r="J9" s="10">
        <f t="shared" si="3"/>
        <v>1</v>
      </c>
      <c r="K9" s="10">
        <f t="shared" si="4"/>
        <v>2</v>
      </c>
      <c r="L9" s="5"/>
      <c r="M9" s="16" t="s">
        <v>14</v>
      </c>
      <c r="N9" s="17"/>
      <c r="O9" s="17"/>
      <c r="P9" s="17"/>
      <c r="Q9" s="18"/>
      <c r="R9" s="5"/>
      <c r="S9" s="19" t="s">
        <v>15</v>
      </c>
      <c r="T9" s="19"/>
      <c r="U9" s="19"/>
      <c r="V9" s="20">
        <v>6</v>
      </c>
    </row>
    <row r="10" spans="1:22" ht="15">
      <c r="A10" s="14">
        <f>$V$11+7</f>
        <v>46242</v>
      </c>
      <c r="B10" s="13" t="s">
        <v>3</v>
      </c>
      <c r="C10" s="13" t="s">
        <v>6</v>
      </c>
      <c r="D10" s="13" t="s">
        <v>5</v>
      </c>
      <c r="E10" s="13" t="s">
        <v>6</v>
      </c>
      <c r="F10" s="13" t="s">
        <v>4</v>
      </c>
      <c r="G10" s="2"/>
      <c r="H10" s="10">
        <f t="shared" si="1"/>
        <v>1</v>
      </c>
      <c r="I10" s="10">
        <f t="shared" si="2"/>
        <v>1</v>
      </c>
      <c r="J10" s="10">
        <f t="shared" si="3"/>
        <v>1</v>
      </c>
      <c r="K10" s="10">
        <f t="shared" si="4"/>
        <v>2</v>
      </c>
      <c r="L10" s="5"/>
      <c r="M10" s="7" t="s">
        <v>16</v>
      </c>
      <c r="N10" s="16" t="s">
        <v>17</v>
      </c>
      <c r="O10" s="17"/>
      <c r="P10" s="17"/>
      <c r="Q10" s="18"/>
      <c r="R10" s="5"/>
      <c r="S10" s="19" t="s">
        <v>18</v>
      </c>
      <c r="T10" s="19"/>
      <c r="U10" s="19"/>
      <c r="V10" s="21">
        <v>20</v>
      </c>
    </row>
    <row r="11" spans="1:22" ht="15">
      <c r="A11" s="14">
        <f>$V$11+8</f>
        <v>46243</v>
      </c>
      <c r="B11" s="13" t="s">
        <v>6</v>
      </c>
      <c r="C11" s="13" t="s">
        <v>6</v>
      </c>
      <c r="D11" s="13" t="s">
        <v>5</v>
      </c>
      <c r="E11" s="13" t="s">
        <v>4</v>
      </c>
      <c r="F11" s="13" t="s">
        <v>3</v>
      </c>
      <c r="G11" s="2"/>
      <c r="H11" s="10">
        <f t="shared" si="1"/>
        <v>1</v>
      </c>
      <c r="I11" s="10">
        <f t="shared" si="2"/>
        <v>1</v>
      </c>
      <c r="J11" s="10">
        <f t="shared" si="3"/>
        <v>1</v>
      </c>
      <c r="K11" s="10">
        <f t="shared" si="4"/>
        <v>2</v>
      </c>
      <c r="L11" s="5"/>
      <c r="M11" s="10" t="s">
        <v>3</v>
      </c>
      <c r="N11" s="22" t="s">
        <v>19</v>
      </c>
      <c r="O11" s="23"/>
      <c r="P11" s="23"/>
      <c r="Q11" s="24"/>
      <c r="R11" s="5"/>
      <c r="S11" s="19" t="s">
        <v>20</v>
      </c>
      <c r="T11" s="19"/>
      <c r="U11" s="19"/>
      <c r="V11" s="25">
        <v>46235</v>
      </c>
    </row>
    <row r="12" spans="1:22" ht="15">
      <c r="A12" s="11">
        <f>$V$11+9</f>
        <v>46244</v>
      </c>
      <c r="B12" s="15" t="s">
        <v>6</v>
      </c>
      <c r="C12" s="13" t="s">
        <v>4</v>
      </c>
      <c r="D12" s="15" t="s">
        <v>5</v>
      </c>
      <c r="E12" s="13" t="s">
        <v>3</v>
      </c>
      <c r="F12" s="13" t="s">
        <v>6</v>
      </c>
      <c r="G12" s="2"/>
      <c r="H12" s="10">
        <f t="shared" si="1"/>
        <v>1</v>
      </c>
      <c r="I12" s="10">
        <f t="shared" si="2"/>
        <v>1</v>
      </c>
      <c r="J12" s="10">
        <f t="shared" si="3"/>
        <v>1</v>
      </c>
      <c r="K12" s="10">
        <f t="shared" si="4"/>
        <v>2</v>
      </c>
      <c r="L12" s="5"/>
      <c r="M12" s="10" t="s">
        <v>4</v>
      </c>
      <c r="N12" s="22" t="s">
        <v>21</v>
      </c>
      <c r="O12" s="23"/>
      <c r="P12" s="23"/>
      <c r="Q12" s="24"/>
      <c r="R12" s="5"/>
      <c r="S12" s="19" t="s">
        <v>22</v>
      </c>
      <c r="T12" s="19"/>
      <c r="U12" s="19"/>
      <c r="V12" s="10">
        <f>V10*7</f>
        <v>140</v>
      </c>
    </row>
    <row r="13" spans="1:22" ht="15">
      <c r="A13" s="11">
        <f>$V$11+10</f>
        <v>46245</v>
      </c>
      <c r="B13" s="13" t="s">
        <v>4</v>
      </c>
      <c r="C13" s="13" t="s">
        <v>5</v>
      </c>
      <c r="D13" s="13" t="s">
        <v>6</v>
      </c>
      <c r="E13" s="13" t="s">
        <v>6</v>
      </c>
      <c r="F13" s="13" t="s">
        <v>3</v>
      </c>
      <c r="G13" s="2"/>
      <c r="H13" s="10">
        <f t="shared" si="1"/>
        <v>1</v>
      </c>
      <c r="I13" s="10">
        <f t="shared" si="2"/>
        <v>1</v>
      </c>
      <c r="J13" s="10">
        <f t="shared" si="3"/>
        <v>1</v>
      </c>
      <c r="K13" s="10">
        <f t="shared" si="4"/>
        <v>2</v>
      </c>
      <c r="L13" s="5"/>
      <c r="M13" s="10" t="s">
        <v>5</v>
      </c>
      <c r="N13" s="22" t="s">
        <v>23</v>
      </c>
      <c r="O13" s="23"/>
      <c r="P13" s="23"/>
      <c r="Q13" s="24"/>
      <c r="R13" s="5"/>
    </row>
    <row r="14" spans="1:22" ht="15">
      <c r="A14" s="11">
        <f>$V$11+11</f>
        <v>46246</v>
      </c>
      <c r="B14" s="13" t="s">
        <v>3</v>
      </c>
      <c r="C14" s="13" t="s">
        <v>5</v>
      </c>
      <c r="D14" s="15" t="s">
        <v>4</v>
      </c>
      <c r="E14" s="13" t="s">
        <v>6</v>
      </c>
      <c r="F14" s="13" t="s">
        <v>6</v>
      </c>
      <c r="G14" s="2"/>
      <c r="H14" s="10">
        <f t="shared" si="1"/>
        <v>1</v>
      </c>
      <c r="I14" s="10">
        <f t="shared" si="2"/>
        <v>1</v>
      </c>
      <c r="J14" s="10">
        <f t="shared" si="3"/>
        <v>1</v>
      </c>
      <c r="K14" s="10">
        <f t="shared" si="4"/>
        <v>2</v>
      </c>
      <c r="L14" s="5"/>
      <c r="M14" s="5"/>
      <c r="N14" s="5"/>
      <c r="O14" s="5"/>
      <c r="P14" s="5"/>
      <c r="Q14" s="5"/>
      <c r="R14" s="5"/>
    </row>
    <row r="15" spans="1:22" ht="15">
      <c r="A15" s="11">
        <f>$V$11+12</f>
        <v>46247</v>
      </c>
      <c r="B15" s="13" t="s">
        <v>3</v>
      </c>
      <c r="C15" s="13" t="s">
        <v>6</v>
      </c>
      <c r="D15" s="13" t="s">
        <v>6</v>
      </c>
      <c r="E15" s="13" t="s">
        <v>4</v>
      </c>
      <c r="F15" s="13" t="s">
        <v>5</v>
      </c>
      <c r="G15" s="2"/>
      <c r="H15" s="10">
        <f t="shared" si="1"/>
        <v>1</v>
      </c>
      <c r="I15" s="10">
        <f t="shared" si="2"/>
        <v>1</v>
      </c>
      <c r="J15" s="10">
        <f t="shared" si="3"/>
        <v>1</v>
      </c>
      <c r="K15" s="10">
        <f t="shared" si="4"/>
        <v>2</v>
      </c>
      <c r="L15" s="5"/>
      <c r="M15" s="5"/>
      <c r="R15" s="5"/>
    </row>
    <row r="16" spans="1:22" ht="15">
      <c r="A16" s="11">
        <f>$V$11+13</f>
        <v>46248</v>
      </c>
      <c r="B16" s="13" t="s">
        <v>3</v>
      </c>
      <c r="C16" s="26" t="s">
        <v>3</v>
      </c>
      <c r="D16" s="13" t="s">
        <v>4</v>
      </c>
      <c r="E16" s="13" t="s">
        <v>5</v>
      </c>
      <c r="F16" s="13" t="s">
        <v>6</v>
      </c>
      <c r="G16" s="2"/>
      <c r="H16" s="10">
        <f t="shared" si="1"/>
        <v>2</v>
      </c>
      <c r="I16" s="10">
        <f t="shared" si="2"/>
        <v>1</v>
      </c>
      <c r="J16" s="10">
        <f t="shared" si="3"/>
        <v>1</v>
      </c>
      <c r="K16" s="10">
        <f t="shared" si="4"/>
        <v>1</v>
      </c>
      <c r="L16" s="5"/>
      <c r="R16" s="5"/>
    </row>
    <row r="17" spans="1:19" ht="15">
      <c r="A17" s="14">
        <f>$V$11+14</f>
        <v>46249</v>
      </c>
      <c r="B17" s="13" t="s">
        <v>6</v>
      </c>
      <c r="C17" s="13" t="s">
        <v>6</v>
      </c>
      <c r="D17" s="13" t="s">
        <v>4</v>
      </c>
      <c r="E17" s="13" t="s">
        <v>5</v>
      </c>
      <c r="F17" s="13" t="s">
        <v>3</v>
      </c>
      <c r="G17" s="2"/>
      <c r="H17" s="10">
        <f t="shared" si="1"/>
        <v>1</v>
      </c>
      <c r="I17" s="10">
        <f t="shared" si="2"/>
        <v>1</v>
      </c>
      <c r="J17" s="10">
        <f t="shared" si="3"/>
        <v>1</v>
      </c>
      <c r="K17" s="10">
        <f t="shared" si="4"/>
        <v>2</v>
      </c>
      <c r="L17" s="5"/>
      <c r="R17" s="5"/>
      <c r="S17" s="5"/>
    </row>
    <row r="18" spans="1:19" ht="15">
      <c r="A18" s="14">
        <f>$V$11+15</f>
        <v>46250</v>
      </c>
      <c r="B18" s="13" t="s">
        <v>6</v>
      </c>
      <c r="C18" s="13" t="s">
        <v>6</v>
      </c>
      <c r="D18" s="13" t="s">
        <v>4</v>
      </c>
      <c r="E18" s="13" t="s">
        <v>5</v>
      </c>
      <c r="F18" s="13" t="s">
        <v>3</v>
      </c>
      <c r="G18" s="2"/>
      <c r="H18" s="10">
        <f t="shared" si="1"/>
        <v>1</v>
      </c>
      <c r="I18" s="10">
        <f t="shared" si="2"/>
        <v>1</v>
      </c>
      <c r="J18" s="10">
        <f t="shared" si="3"/>
        <v>1</v>
      </c>
      <c r="K18" s="10">
        <f t="shared" si="4"/>
        <v>2</v>
      </c>
      <c r="L18" s="5"/>
      <c r="R18" s="5"/>
      <c r="S18" s="5"/>
    </row>
    <row r="19" spans="1:19" ht="15">
      <c r="A19" s="11">
        <f>$V$11+16</f>
        <v>46251</v>
      </c>
      <c r="B19" s="13" t="s">
        <v>5</v>
      </c>
      <c r="C19" s="13" t="s">
        <v>4</v>
      </c>
      <c r="D19" s="13" t="s">
        <v>6</v>
      </c>
      <c r="E19" s="13" t="s">
        <v>6</v>
      </c>
      <c r="F19" s="13" t="s">
        <v>3</v>
      </c>
      <c r="G19" s="2"/>
      <c r="H19" s="10">
        <f t="shared" si="1"/>
        <v>1</v>
      </c>
      <c r="I19" s="10">
        <f t="shared" si="2"/>
        <v>1</v>
      </c>
      <c r="J19" s="10">
        <f t="shared" si="3"/>
        <v>1</v>
      </c>
      <c r="K19" s="10">
        <f t="shared" si="4"/>
        <v>2</v>
      </c>
      <c r="L19" s="5"/>
      <c r="M19" s="5"/>
      <c r="N19" s="5"/>
      <c r="O19" s="5"/>
      <c r="P19" s="5"/>
      <c r="Q19" s="5"/>
      <c r="R19" s="5"/>
      <c r="S19" s="5"/>
    </row>
    <row r="20" spans="1:19" ht="15">
      <c r="A20" s="11">
        <f>$V$11+17</f>
        <v>46252</v>
      </c>
      <c r="B20" s="15" t="s">
        <v>5</v>
      </c>
      <c r="C20" s="13" t="s">
        <v>4</v>
      </c>
      <c r="D20" s="13" t="s">
        <v>6</v>
      </c>
      <c r="E20" s="13" t="s">
        <v>6</v>
      </c>
      <c r="F20" s="13" t="s">
        <v>3</v>
      </c>
      <c r="G20" s="2"/>
      <c r="H20" s="10">
        <f t="shared" si="1"/>
        <v>1</v>
      </c>
      <c r="I20" s="10">
        <f t="shared" si="2"/>
        <v>1</v>
      </c>
      <c r="J20" s="10">
        <f t="shared" si="3"/>
        <v>1</v>
      </c>
      <c r="K20" s="10">
        <f t="shared" si="4"/>
        <v>2</v>
      </c>
      <c r="L20" s="5"/>
      <c r="M20" s="5"/>
      <c r="N20" s="5"/>
      <c r="O20" s="5"/>
      <c r="P20" s="5"/>
      <c r="Q20" s="5"/>
      <c r="R20" s="5"/>
      <c r="S20" s="5"/>
    </row>
    <row r="21" spans="1:19" ht="15">
      <c r="A21" s="11">
        <f>$V$11+18</f>
        <v>46253</v>
      </c>
      <c r="B21" s="13" t="s">
        <v>5</v>
      </c>
      <c r="C21" s="13" t="s">
        <v>4</v>
      </c>
      <c r="D21" s="13" t="s">
        <v>3</v>
      </c>
      <c r="E21" s="13" t="s">
        <v>6</v>
      </c>
      <c r="F21" s="13" t="s">
        <v>6</v>
      </c>
      <c r="G21" s="2"/>
      <c r="H21" s="10">
        <f t="shared" si="1"/>
        <v>1</v>
      </c>
      <c r="I21" s="10">
        <f t="shared" si="2"/>
        <v>1</v>
      </c>
      <c r="J21" s="10">
        <f t="shared" si="3"/>
        <v>1</v>
      </c>
      <c r="K21" s="10">
        <f t="shared" si="4"/>
        <v>2</v>
      </c>
      <c r="L21" s="5"/>
      <c r="M21" s="27"/>
      <c r="N21" s="27"/>
      <c r="O21" s="5"/>
      <c r="P21" s="5"/>
      <c r="Q21" s="5"/>
      <c r="R21" s="5"/>
      <c r="S21" s="5"/>
    </row>
    <row r="22" spans="1:19" ht="15">
      <c r="A22" s="11">
        <f>$V$11+19</f>
        <v>46254</v>
      </c>
      <c r="B22" s="13" t="s">
        <v>6</v>
      </c>
      <c r="C22" s="13" t="s">
        <v>4</v>
      </c>
      <c r="D22" s="13" t="s">
        <v>3</v>
      </c>
      <c r="E22" s="13" t="s">
        <v>5</v>
      </c>
      <c r="F22" s="13" t="s">
        <v>6</v>
      </c>
      <c r="G22" s="2"/>
      <c r="H22" s="10">
        <f t="shared" si="1"/>
        <v>1</v>
      </c>
      <c r="I22" s="10">
        <f t="shared" si="2"/>
        <v>1</v>
      </c>
      <c r="J22" s="10">
        <f t="shared" si="3"/>
        <v>1</v>
      </c>
      <c r="K22" s="10">
        <f t="shared" si="4"/>
        <v>2</v>
      </c>
      <c r="L22" s="5"/>
      <c r="M22" s="5"/>
      <c r="N22" s="5"/>
      <c r="O22" s="5"/>
      <c r="P22" s="5"/>
      <c r="Q22" s="5"/>
      <c r="R22" s="5"/>
      <c r="S22" s="5"/>
    </row>
    <row r="23" spans="1:19" ht="15">
      <c r="A23" s="11">
        <f>$V$11+20</f>
        <v>46255</v>
      </c>
      <c r="B23" s="13" t="s">
        <v>6</v>
      </c>
      <c r="C23" s="13" t="s">
        <v>3</v>
      </c>
      <c r="D23" s="13" t="s">
        <v>4</v>
      </c>
      <c r="E23" s="13" t="s">
        <v>5</v>
      </c>
      <c r="F23" s="26" t="s">
        <v>3</v>
      </c>
      <c r="G23" s="2"/>
      <c r="H23" s="10">
        <f t="shared" si="1"/>
        <v>2</v>
      </c>
      <c r="I23" s="10">
        <f t="shared" si="2"/>
        <v>1</v>
      </c>
      <c r="J23" s="10">
        <f t="shared" si="3"/>
        <v>1</v>
      </c>
      <c r="K23" s="10">
        <f t="shared" si="4"/>
        <v>1</v>
      </c>
      <c r="L23" s="5"/>
      <c r="M23" s="28"/>
      <c r="N23" s="28"/>
      <c r="O23" s="2"/>
      <c r="P23" s="5"/>
      <c r="Q23" s="5"/>
      <c r="R23" s="5"/>
      <c r="S23" s="5"/>
    </row>
    <row r="24" spans="1:19" ht="15">
      <c r="A24" s="14">
        <f>$V$11+21</f>
        <v>46256</v>
      </c>
      <c r="B24" s="15" t="s">
        <v>3</v>
      </c>
      <c r="C24" s="13" t="s">
        <v>6</v>
      </c>
      <c r="D24" s="13" t="s">
        <v>4</v>
      </c>
      <c r="E24" s="13" t="s">
        <v>5</v>
      </c>
      <c r="F24" s="13" t="s">
        <v>6</v>
      </c>
      <c r="G24" s="2"/>
      <c r="H24" s="10">
        <f t="shared" si="1"/>
        <v>1</v>
      </c>
      <c r="I24" s="10">
        <f t="shared" si="2"/>
        <v>1</v>
      </c>
      <c r="J24" s="10">
        <f t="shared" si="3"/>
        <v>1</v>
      </c>
      <c r="K24" s="10">
        <f t="shared" si="4"/>
        <v>2</v>
      </c>
      <c r="L24" s="5"/>
      <c r="M24" s="28"/>
      <c r="N24" s="28"/>
      <c r="O24" s="5"/>
      <c r="P24" s="5"/>
      <c r="Q24" s="5"/>
      <c r="R24" s="5"/>
    </row>
    <row r="25" spans="1:19" ht="15">
      <c r="A25" s="14">
        <f>$V$11+22</f>
        <v>46257</v>
      </c>
      <c r="B25" s="15" t="s">
        <v>3</v>
      </c>
      <c r="C25" s="15" t="s">
        <v>6</v>
      </c>
      <c r="D25" s="13" t="s">
        <v>4</v>
      </c>
      <c r="E25" s="13" t="s">
        <v>6</v>
      </c>
      <c r="F25" s="13" t="s">
        <v>5</v>
      </c>
      <c r="G25" s="2"/>
      <c r="H25" s="10">
        <f t="shared" si="1"/>
        <v>1</v>
      </c>
      <c r="I25" s="10">
        <f t="shared" si="2"/>
        <v>1</v>
      </c>
      <c r="J25" s="10">
        <f t="shared" si="3"/>
        <v>1</v>
      </c>
      <c r="K25" s="10">
        <f t="shared" si="4"/>
        <v>2</v>
      </c>
      <c r="L25" s="5"/>
      <c r="M25" s="28"/>
      <c r="N25" s="28"/>
      <c r="O25" s="5"/>
      <c r="P25" s="5"/>
      <c r="Q25" s="5"/>
      <c r="R25" s="5"/>
    </row>
    <row r="26" spans="1:19" ht="15">
      <c r="A26" s="11">
        <f>$V$11+23</f>
        <v>46258</v>
      </c>
      <c r="B26" s="13" t="s">
        <v>6</v>
      </c>
      <c r="C26" s="15" t="s">
        <v>4</v>
      </c>
      <c r="D26" s="13" t="s">
        <v>6</v>
      </c>
      <c r="E26" s="13" t="s">
        <v>3</v>
      </c>
      <c r="F26" s="13" t="s">
        <v>5</v>
      </c>
      <c r="G26" s="2"/>
      <c r="H26" s="10">
        <f t="shared" si="1"/>
        <v>1</v>
      </c>
      <c r="I26" s="10">
        <f t="shared" si="2"/>
        <v>1</v>
      </c>
      <c r="J26" s="10">
        <f t="shared" si="3"/>
        <v>1</v>
      </c>
      <c r="K26" s="10">
        <f t="shared" si="4"/>
        <v>2</v>
      </c>
      <c r="L26" s="5"/>
      <c r="M26" s="29"/>
      <c r="N26" s="29"/>
      <c r="Q26" s="5"/>
      <c r="R26" s="5"/>
    </row>
    <row r="27" spans="1:19" ht="15">
      <c r="A27" s="14">
        <f>$V$11+24</f>
        <v>46259</v>
      </c>
      <c r="B27" s="13" t="s">
        <v>4</v>
      </c>
      <c r="C27" s="13" t="s">
        <v>6</v>
      </c>
      <c r="D27" s="13" t="s">
        <v>6</v>
      </c>
      <c r="E27" s="13" t="s">
        <v>3</v>
      </c>
      <c r="F27" s="13" t="s">
        <v>5</v>
      </c>
      <c r="G27" s="2"/>
      <c r="H27" s="10">
        <f t="shared" si="1"/>
        <v>1</v>
      </c>
      <c r="I27" s="10">
        <f t="shared" si="2"/>
        <v>1</v>
      </c>
      <c r="J27" s="10">
        <f t="shared" si="3"/>
        <v>1</v>
      </c>
      <c r="K27" s="10">
        <f t="shared" si="4"/>
        <v>2</v>
      </c>
      <c r="L27" s="5"/>
      <c r="M27" s="28"/>
      <c r="N27" s="28"/>
      <c r="O27" s="2"/>
      <c r="R27" s="5"/>
      <c r="S27" s="5"/>
    </row>
    <row r="28" spans="1:19" ht="15">
      <c r="A28" s="14">
        <f>$V$11+25</f>
        <v>46260</v>
      </c>
      <c r="B28" s="13" t="s">
        <v>4</v>
      </c>
      <c r="C28" s="13" t="s">
        <v>6</v>
      </c>
      <c r="D28" s="13" t="s">
        <v>6</v>
      </c>
      <c r="E28" s="13" t="s">
        <v>3</v>
      </c>
      <c r="F28" s="13" t="s">
        <v>5</v>
      </c>
      <c r="G28" s="2"/>
      <c r="H28" s="10">
        <f t="shared" si="1"/>
        <v>1</v>
      </c>
      <c r="I28" s="10">
        <f t="shared" si="2"/>
        <v>1</v>
      </c>
      <c r="J28" s="10">
        <f t="shared" si="3"/>
        <v>1</v>
      </c>
      <c r="K28" s="10">
        <f t="shared" si="4"/>
        <v>2</v>
      </c>
      <c r="L28" s="5"/>
      <c r="M28" s="5"/>
      <c r="N28" s="5"/>
      <c r="O28" s="5"/>
      <c r="R28" s="5"/>
      <c r="S28" s="5"/>
    </row>
    <row r="29" spans="1:19" ht="15">
      <c r="A29" s="11">
        <f>$V$11+26</f>
        <v>46261</v>
      </c>
      <c r="B29" s="13" t="s">
        <v>3</v>
      </c>
      <c r="C29" s="13" t="s">
        <v>6</v>
      </c>
      <c r="D29" s="13" t="s">
        <v>5</v>
      </c>
      <c r="E29" s="30" t="s">
        <v>4</v>
      </c>
      <c r="F29" s="30" t="s">
        <v>6</v>
      </c>
      <c r="G29" s="2"/>
      <c r="H29" s="10">
        <f t="shared" si="1"/>
        <v>1</v>
      </c>
      <c r="I29" s="10">
        <f t="shared" si="2"/>
        <v>1</v>
      </c>
      <c r="J29" s="10">
        <f t="shared" si="3"/>
        <v>1</v>
      </c>
      <c r="K29" s="10">
        <f t="shared" si="4"/>
        <v>2</v>
      </c>
      <c r="L29" s="5"/>
      <c r="M29" s="5"/>
      <c r="N29" s="5"/>
      <c r="O29" s="5"/>
      <c r="R29" s="5"/>
      <c r="S29" s="5"/>
    </row>
    <row r="30" spans="1:19" ht="15">
      <c r="A30" s="14">
        <f>$V$11+27</f>
        <v>46262</v>
      </c>
      <c r="B30" s="13" t="s">
        <v>6</v>
      </c>
      <c r="C30" s="30" t="s">
        <v>4</v>
      </c>
      <c r="D30" s="30" t="s">
        <v>5</v>
      </c>
      <c r="E30" s="30" t="s">
        <v>6</v>
      </c>
      <c r="F30" s="30" t="s">
        <v>3</v>
      </c>
      <c r="G30" s="2"/>
      <c r="H30" s="10">
        <f t="shared" si="1"/>
        <v>1</v>
      </c>
      <c r="I30" s="10">
        <f t="shared" si="2"/>
        <v>1</v>
      </c>
      <c r="J30" s="10">
        <f t="shared" si="3"/>
        <v>1</v>
      </c>
      <c r="K30" s="10">
        <f t="shared" si="4"/>
        <v>2</v>
      </c>
      <c r="L30" s="5"/>
      <c r="M30" s="5"/>
      <c r="N30" s="5"/>
      <c r="O30" s="5"/>
      <c r="R30" s="5"/>
      <c r="S30" s="5"/>
    </row>
    <row r="31" spans="1:19" ht="15">
      <c r="A31" s="11">
        <f>$V$11+28</f>
        <v>46263</v>
      </c>
      <c r="B31" s="13" t="s">
        <v>6</v>
      </c>
      <c r="C31" s="30" t="s">
        <v>3</v>
      </c>
      <c r="D31" s="30" t="s">
        <v>5</v>
      </c>
      <c r="E31" s="13" t="s">
        <v>6</v>
      </c>
      <c r="F31" s="13" t="s">
        <v>4</v>
      </c>
      <c r="H31" s="10">
        <f>COUNTIF($B31:$F31,"S1")</f>
        <v>1</v>
      </c>
      <c r="I31" s="10">
        <f>COUNTIF(B31:F31,"S2")</f>
        <v>1</v>
      </c>
      <c r="J31" s="10">
        <f>COUNTIF(B31:F31,"S3")</f>
        <v>1</v>
      </c>
      <c r="K31" s="10">
        <f>COUNTIF(B31:F31,"OFF")</f>
        <v>2</v>
      </c>
    </row>
    <row r="32" spans="1:19" ht="15">
      <c r="A32" s="14">
        <f>$V$11+29</f>
        <v>46264</v>
      </c>
      <c r="B32" s="13" t="s">
        <v>6</v>
      </c>
      <c r="C32" s="30" t="s">
        <v>5</v>
      </c>
      <c r="D32" s="13" t="s">
        <v>6</v>
      </c>
      <c r="E32" s="30" t="s">
        <v>3</v>
      </c>
      <c r="F32" s="30" t="s">
        <v>4</v>
      </c>
      <c r="H32" s="10">
        <f t="shared" si="1"/>
        <v>1</v>
      </c>
      <c r="I32" s="10">
        <f t="shared" ref="I32:I33" si="5">COUNTIF(B32:F32,"S2")</f>
        <v>1</v>
      </c>
      <c r="J32" s="10">
        <f t="shared" ref="J32:J33" si="6">COUNTIF(B32:F32,"S3")</f>
        <v>1</v>
      </c>
      <c r="K32" s="10">
        <f t="shared" ref="K32" si="7">COUNTIF(B32:F32,"OFF")</f>
        <v>2</v>
      </c>
    </row>
    <row r="33" spans="1:11" ht="15">
      <c r="A33" s="11">
        <f>$V$11+30</f>
        <v>46265</v>
      </c>
      <c r="B33" s="13" t="s">
        <v>4</v>
      </c>
      <c r="C33" s="13" t="s">
        <v>5</v>
      </c>
      <c r="D33" s="30" t="s">
        <v>6</v>
      </c>
      <c r="E33" s="30" t="s">
        <v>3</v>
      </c>
      <c r="F33" s="13" t="s">
        <v>6</v>
      </c>
      <c r="H33" s="10">
        <f>COUNTIF($B33:$F33,"S1")</f>
        <v>1</v>
      </c>
      <c r="I33" s="10">
        <f t="shared" si="5"/>
        <v>1</v>
      </c>
      <c r="J33" s="10">
        <f t="shared" si="6"/>
        <v>1</v>
      </c>
      <c r="K33" s="10">
        <f>COUNTIF(B33:F33,"OFF")</f>
        <v>2</v>
      </c>
    </row>
  </sheetData>
  <mergeCells count="11">
    <mergeCell ref="N11:Q11"/>
    <mergeCell ref="S11:U11"/>
    <mergeCell ref="N12:Q12"/>
    <mergeCell ref="S12:U12"/>
    <mergeCell ref="N13:Q13"/>
    <mergeCell ref="A1:F1"/>
    <mergeCell ref="H1:K1"/>
    <mergeCell ref="M9:Q9"/>
    <mergeCell ref="S9:U9"/>
    <mergeCell ref="N10:Q10"/>
    <mergeCell ref="S10:U10"/>
  </mergeCells>
  <conditionalFormatting sqref="B3 B6 B20">
    <cfRule type="cellIs" dxfId="87" priority="62" stopIfTrue="1" operator="lessThan">
      <formula>1</formula>
    </cfRule>
    <cfRule type="cellIs" dxfId="88" priority="63" stopIfTrue="1" operator="equal">
      <formula>"OFF"</formula>
    </cfRule>
  </conditionalFormatting>
  <conditionalFormatting sqref="B4:B5">
    <cfRule type="cellIs" dxfId="86" priority="40" stopIfTrue="1" operator="equal">
      <formula>"OFF"</formula>
    </cfRule>
    <cfRule type="cellIs" dxfId="85" priority="41" stopIfTrue="1" operator="lessThan">
      <formula>1</formula>
    </cfRule>
  </conditionalFormatting>
  <conditionalFormatting sqref="B7:B11">
    <cfRule type="cellIs" dxfId="84" priority="9" stopIfTrue="1" operator="equal">
      <formula>"OFF"</formula>
    </cfRule>
    <cfRule type="cellIs" dxfId="83" priority="10" stopIfTrue="1" operator="lessThan">
      <formula>1</formula>
    </cfRule>
  </conditionalFormatting>
  <conditionalFormatting sqref="B12">
    <cfRule type="cellIs" dxfId="81" priority="55" stopIfTrue="1" operator="lessThan">
      <formula>1</formula>
    </cfRule>
    <cfRule type="cellIs" dxfId="82" priority="56" stopIfTrue="1" operator="equal">
      <formula>"OFF"</formula>
    </cfRule>
  </conditionalFormatting>
  <conditionalFormatting sqref="B13:B18">
    <cfRule type="cellIs" dxfId="80" priority="7" stopIfTrue="1" operator="equal">
      <formula>"OFF"</formula>
    </cfRule>
    <cfRule type="cellIs" dxfId="79" priority="8" stopIfTrue="1" operator="lessThan">
      <formula>1</formula>
    </cfRule>
  </conditionalFormatting>
  <conditionalFormatting sqref="B21:B23">
    <cfRule type="cellIs" dxfId="78" priority="30" stopIfTrue="1" operator="lessThan">
      <formula>1</formula>
    </cfRule>
  </conditionalFormatting>
  <conditionalFormatting sqref="B21:B24">
    <cfRule type="cellIs" dxfId="77" priority="25" stopIfTrue="1" operator="equal">
      <formula>"OFF"</formula>
    </cfRule>
  </conditionalFormatting>
  <conditionalFormatting sqref="B24:B25">
    <cfRule type="cellIs" dxfId="73" priority="58" stopIfTrue="1" operator="equal">
      <formula>"OFF"</formula>
    </cfRule>
    <cfRule type="cellIs" dxfId="74" priority="59" stopIfTrue="1" operator="lessThan">
      <formula>1</formula>
    </cfRule>
    <cfRule type="cellIs" dxfId="75" priority="60" stopIfTrue="1" operator="equal">
      <formula>"OFF"</formula>
    </cfRule>
    <cfRule type="cellIs" dxfId="76" priority="61" stopIfTrue="1" operator="lessThan">
      <formula>1</formula>
    </cfRule>
  </conditionalFormatting>
  <conditionalFormatting sqref="B24:B29">
    <cfRule type="cellIs" dxfId="72" priority="35" stopIfTrue="1" operator="lessThan">
      <formula>1</formula>
    </cfRule>
  </conditionalFormatting>
  <conditionalFormatting sqref="B26">
    <cfRule type="cellIs" dxfId="71" priority="34" stopIfTrue="1" operator="equal">
      <formula>"OFF"</formula>
    </cfRule>
  </conditionalFormatting>
  <conditionalFormatting sqref="B27">
    <cfRule type="cellIs" dxfId="70" priority="51" stopIfTrue="1" operator="equal">
      <formula>"OFF"</formula>
    </cfRule>
    <cfRule type="cellIs" dxfId="68" priority="52" stopIfTrue="1" operator="lessThan">
      <formula>1</formula>
    </cfRule>
    <cfRule type="cellIs" dxfId="69" priority="53" stopIfTrue="1" operator="equal">
      <formula>"OFF"</formula>
    </cfRule>
  </conditionalFormatting>
  <conditionalFormatting sqref="B28:B32">
    <cfRule type="cellIs" dxfId="67" priority="5" stopIfTrue="1" operator="equal">
      <formula>"OFF"</formula>
    </cfRule>
  </conditionalFormatting>
  <conditionalFormatting sqref="B30:B33">
    <cfRule type="cellIs" dxfId="66" priority="6" stopIfTrue="1" operator="lessThan">
      <formula>1</formula>
    </cfRule>
  </conditionalFormatting>
  <conditionalFormatting sqref="B19:C19">
    <cfRule type="cellIs" dxfId="64" priority="31" stopIfTrue="1" operator="equal">
      <formula>"OFF"</formula>
    </cfRule>
    <cfRule type="cellIs" dxfId="65" priority="32" stopIfTrue="1" operator="lessThan">
      <formula>1</formula>
    </cfRule>
  </conditionalFormatting>
  <conditionalFormatting sqref="B24:C24">
    <cfRule type="cellIs" dxfId="63" priority="23" stopIfTrue="1" operator="equal">
      <formula>"OFF"</formula>
    </cfRule>
    <cfRule type="cellIs" dxfId="62" priority="24" stopIfTrue="1" operator="lessThan">
      <formula>1</formula>
    </cfRule>
  </conditionalFormatting>
  <conditionalFormatting sqref="B25:C25">
    <cfRule type="cellIs" dxfId="61" priority="82" stopIfTrue="1" operator="equal">
      <formula>"OFF"</formula>
    </cfRule>
    <cfRule type="cellIs" dxfId="60" priority="83" stopIfTrue="1" operator="lessThan">
      <formula>1</formula>
    </cfRule>
    <cfRule type="cellIs" dxfId="59" priority="84" stopIfTrue="1" operator="equal">
      <formula>"OFF"</formula>
    </cfRule>
  </conditionalFormatting>
  <conditionalFormatting sqref="B27:C27">
    <cfRule type="cellIs" dxfId="58" priority="54" stopIfTrue="1" operator="lessThan">
      <formula>1</formula>
    </cfRule>
  </conditionalFormatting>
  <conditionalFormatting sqref="B33:C33">
    <cfRule type="cellIs" dxfId="56" priority="26" stopIfTrue="1" operator="equal">
      <formula>"OFF"</formula>
    </cfRule>
    <cfRule type="cellIs" dxfId="57" priority="27" stopIfTrue="1" operator="lessThan">
      <formula>1</formula>
    </cfRule>
  </conditionalFormatting>
  <conditionalFormatting sqref="C3:C18">
    <cfRule type="cellIs" dxfId="55" priority="28" stopIfTrue="1" operator="equal">
      <formula>"OFF"</formula>
    </cfRule>
    <cfRule type="cellIs" dxfId="54" priority="29" stopIfTrue="1" operator="lessThan">
      <formula>1</formula>
    </cfRule>
  </conditionalFormatting>
  <conditionalFormatting sqref="C20">
    <cfRule type="cellIs" dxfId="52" priority="48" stopIfTrue="1" operator="lessThan">
      <formula>1</formula>
    </cfRule>
    <cfRule type="cellIs" dxfId="53" priority="49" stopIfTrue="1" operator="equal">
      <formula>"OFF"</formula>
    </cfRule>
  </conditionalFormatting>
  <conditionalFormatting sqref="C20:C21">
    <cfRule type="cellIs" dxfId="50" priority="46" stopIfTrue="1" operator="lessThan">
      <formula>1</formula>
    </cfRule>
    <cfRule type="cellIs" dxfId="51" priority="47" stopIfTrue="1" operator="equal">
      <formula>"OFF"</formula>
    </cfRule>
  </conditionalFormatting>
  <conditionalFormatting sqref="C21:C23">
    <cfRule type="cellIs" dxfId="49" priority="44" stopIfTrue="1" operator="lessThan">
      <formula>1</formula>
    </cfRule>
    <cfRule type="cellIs" dxfId="48" priority="45" stopIfTrue="1" operator="equal">
      <formula>"OFF"</formula>
    </cfRule>
  </conditionalFormatting>
  <conditionalFormatting sqref="C22">
    <cfRule type="cellIs" dxfId="47" priority="42" stopIfTrue="1" operator="lessThan">
      <formula>1</formula>
    </cfRule>
    <cfRule type="cellIs" dxfId="46" priority="43" stopIfTrue="1" operator="equal">
      <formula>"OFF"</formula>
    </cfRule>
  </conditionalFormatting>
  <conditionalFormatting sqref="C23">
    <cfRule type="cellIs" dxfId="44" priority="76" stopIfTrue="1" operator="lessThan">
      <formula>1</formula>
    </cfRule>
    <cfRule type="cellIs" dxfId="43" priority="77" stopIfTrue="1" operator="equal">
      <formula>"OFF"</formula>
    </cfRule>
    <cfRule type="cellIs" dxfId="45" priority="78" stopIfTrue="1" operator="lessThan">
      <formula>1</formula>
    </cfRule>
  </conditionalFormatting>
  <conditionalFormatting sqref="C25">
    <cfRule type="cellIs" dxfId="42" priority="85" stopIfTrue="1" operator="lessThan">
      <formula>1</formula>
    </cfRule>
  </conditionalFormatting>
  <conditionalFormatting sqref="C25:C26 C32">
    <cfRule type="cellIs" dxfId="39" priority="79" stopIfTrue="1" operator="lessThan">
      <formula>1</formula>
    </cfRule>
    <cfRule type="cellIs" dxfId="41" priority="80" stopIfTrue="1" operator="equal">
      <formula>"OFF"</formula>
    </cfRule>
    <cfRule type="cellIs" dxfId="40" priority="81" stopIfTrue="1" operator="lessThan">
      <formula>1</formula>
    </cfRule>
  </conditionalFormatting>
  <conditionalFormatting sqref="C25:C28">
    <cfRule type="cellIs" dxfId="38" priority="71" stopIfTrue="1" operator="lessThan">
      <formula>1</formula>
    </cfRule>
    <cfRule type="cellIs" dxfId="37" priority="72" stopIfTrue="1" operator="equal">
      <formula>"OFF"</formula>
    </cfRule>
  </conditionalFormatting>
  <conditionalFormatting sqref="C27">
    <cfRule type="cellIs" dxfId="36" priority="64" stopIfTrue="1" operator="equal">
      <formula>"OFF"</formula>
    </cfRule>
    <cfRule type="cellIs" dxfId="35" priority="65" stopIfTrue="1" operator="lessThan">
      <formula>1</formula>
    </cfRule>
    <cfRule type="cellIs" dxfId="34" priority="66" stopIfTrue="1" operator="equal">
      <formula>"OFF"</formula>
    </cfRule>
    <cfRule type="cellIs" dxfId="30" priority="67" stopIfTrue="1" operator="lessThan">
      <formula>1</formula>
    </cfRule>
    <cfRule type="cellIs" dxfId="33" priority="68" stopIfTrue="1" operator="equal">
      <formula>"OFF"</formula>
    </cfRule>
    <cfRule type="cellIs" dxfId="32" priority="69" stopIfTrue="1" operator="lessThan">
      <formula>1</formula>
    </cfRule>
    <cfRule type="cellIs" dxfId="31" priority="70" stopIfTrue="1" operator="equal">
      <formula>"OFF"</formula>
    </cfRule>
  </conditionalFormatting>
  <conditionalFormatting sqref="C28">
    <cfRule type="cellIs" dxfId="29" priority="73" stopIfTrue="1" operator="lessThan">
      <formula>1</formula>
    </cfRule>
    <cfRule type="cellIs" dxfId="28" priority="74" stopIfTrue="1" operator="equal">
      <formula>"OFF"</formula>
    </cfRule>
    <cfRule type="cellIs" dxfId="27" priority="75" stopIfTrue="1" operator="lessThan">
      <formula>1</formula>
    </cfRule>
  </conditionalFormatting>
  <conditionalFormatting sqref="C29:C30">
    <cfRule type="cellIs" dxfId="26" priority="36" stopIfTrue="1" operator="equal">
      <formula>"OFF"</formula>
    </cfRule>
  </conditionalFormatting>
  <conditionalFormatting sqref="C29:C32">
    <cfRule type="cellIs" dxfId="25" priority="37" stopIfTrue="1" operator="lessThan">
      <formula>1</formula>
    </cfRule>
  </conditionalFormatting>
  <conditionalFormatting sqref="C30:C32">
    <cfRule type="cellIs" dxfId="24" priority="57" stopIfTrue="1" operator="equal">
      <formula>"OFF"</formula>
    </cfRule>
  </conditionalFormatting>
  <conditionalFormatting sqref="D4:D11">
    <cfRule type="cellIs" dxfId="23" priority="11" stopIfTrue="1" operator="equal">
      <formula>"OFF"</formula>
    </cfRule>
    <cfRule type="cellIs" dxfId="22" priority="12" stopIfTrue="1" operator="lessThan">
      <formula>1</formula>
    </cfRule>
  </conditionalFormatting>
  <conditionalFormatting sqref="D12 D14">
    <cfRule type="cellIs" dxfId="20" priority="21" stopIfTrue="1" operator="lessThan">
      <formula>1</formula>
    </cfRule>
    <cfRule type="cellIs" dxfId="21" priority="22" stopIfTrue="1" operator="equal">
      <formula>"OFF"</formula>
    </cfRule>
  </conditionalFormatting>
  <conditionalFormatting sqref="D13">
    <cfRule type="cellIs" dxfId="18" priority="15" stopIfTrue="1" operator="equal">
      <formula>"OFF"</formula>
    </cfRule>
    <cfRule type="cellIs" dxfId="19" priority="16" stopIfTrue="1" operator="lessThan">
      <formula>1</formula>
    </cfRule>
  </conditionalFormatting>
  <conditionalFormatting sqref="D15:D33">
    <cfRule type="cellIs" dxfId="16" priority="3" stopIfTrue="1" operator="equal">
      <formula>"OFF"</formula>
    </cfRule>
    <cfRule type="cellIs" dxfId="17" priority="4" stopIfTrue="1" operator="lessThan">
      <formula>1</formula>
    </cfRule>
  </conditionalFormatting>
  <conditionalFormatting sqref="D16:E16">
    <cfRule type="cellIs" dxfId="14" priority="19" stopIfTrue="1" operator="equal">
      <formula>"OFF"</formula>
    </cfRule>
    <cfRule type="cellIs" dxfId="15" priority="20" stopIfTrue="1" operator="lessThan">
      <formula>1</formula>
    </cfRule>
  </conditionalFormatting>
  <conditionalFormatting sqref="D3:F3">
    <cfRule type="cellIs" dxfId="12" priority="13" stopIfTrue="1" operator="equal">
      <formula>"OFF"</formula>
    </cfRule>
    <cfRule type="cellIs" dxfId="13" priority="14" stopIfTrue="1" operator="lessThan">
      <formula>1</formula>
    </cfRule>
  </conditionalFormatting>
  <conditionalFormatting sqref="D6:F7">
    <cfRule type="cellIs" dxfId="10" priority="17" stopIfTrue="1" operator="lessThan">
      <formula>1</formula>
    </cfRule>
    <cfRule type="cellIs" dxfId="11" priority="18" stopIfTrue="1" operator="equal">
      <formula>"OFF"</formula>
    </cfRule>
  </conditionalFormatting>
  <conditionalFormatting sqref="E3:F3 F4">
    <cfRule type="cellIs" dxfId="8" priority="38" stopIfTrue="1" operator="lessThan">
      <formula>1</formula>
    </cfRule>
    <cfRule type="cellIs" dxfId="9" priority="39" stopIfTrue="1" operator="equal">
      <formula>"OFF"</formula>
    </cfRule>
  </conditionalFormatting>
  <conditionalFormatting sqref="E4:F31">
    <cfRule type="cellIs" dxfId="7" priority="1" stopIfTrue="1" operator="equal">
      <formula>"OFF"</formula>
    </cfRule>
  </conditionalFormatting>
  <conditionalFormatting sqref="E4:F33">
    <cfRule type="cellIs" dxfId="6" priority="2" stopIfTrue="1" operator="lessThan">
      <formula>1</formula>
    </cfRule>
  </conditionalFormatting>
  <conditionalFormatting sqref="E32:F33">
    <cfRule type="cellIs" dxfId="5" priority="33" stopIfTrue="1" operator="equal">
      <formula>"OFF"</formula>
    </cfRule>
  </conditionalFormatting>
  <conditionalFormatting sqref="F33">
    <cfRule type="cellIs" dxfId="4" priority="50" stopIfTrue="1" operator="lessThan">
      <formula>1</formula>
    </cfRule>
  </conditionalFormatting>
  <conditionalFormatting sqref="H3:K33">
    <cfRule type="cellIs" dxfId="3" priority="88" operator="lessThan">
      <formula>1</formula>
    </cfRule>
    <cfRule type="cellIs" dxfId="2" priority="89" operator="greaterThan">
      <formula>1</formula>
    </cfRule>
  </conditionalFormatting>
  <conditionalFormatting sqref="S2:S6">
    <cfRule type="cellIs" dxfId="1" priority="86" stopIfTrue="1" operator="lessThan">
      <formula>$V$12</formula>
    </cfRule>
  </conditionalFormatting>
  <conditionalFormatting sqref="V9:V11">
    <cfRule type="cellIs" dxfId="0" priority="87" stopIfTrue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SOUTH INDIAN BANK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ABHIJITH M R</dc:creator>
  <cp:lastModifiedBy>ABHIJITH M R</cp:lastModifiedBy>
  <dcterms:created xsi:type="dcterms:W3CDTF">2026-08-07T18:06:24Z</dcterms:created>
  <dcterms:modified xsi:type="dcterms:W3CDTF">2026-08-07T18:06:49Z</dcterms:modified>
</cp:coreProperties>
</file>