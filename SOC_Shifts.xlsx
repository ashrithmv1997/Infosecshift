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xr:revisionPtr revIDLastSave="0" documentId="8_{E8F6CEAF-D3E3-4A8C-BB52-A500AB301893}" xr6:coauthVersionLast="47" xr6:coauthVersionMax="47" xr10:uidLastSave="{00000000-0000-0000-0000-000000000000}"/>
  <bookViews>
    <workbookView xWindow="-120" yWindow="-120" windowWidth="29040" windowHeight="15720" xr2:uid="{08CCB4A9-2C99-486E-A444-94818F721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P2" i="1"/>
  <c r="Q2" i="1"/>
  <c r="R2" i="1"/>
  <c r="S2" i="1"/>
  <c r="M3" i="1"/>
  <c r="N3" i="1"/>
  <c r="O3" i="1"/>
  <c r="P3" i="1"/>
  <c r="S3" i="1" s="1"/>
  <c r="Q3" i="1"/>
  <c r="R3" i="1"/>
  <c r="M4" i="1"/>
  <c r="N4" i="1"/>
  <c r="O4" i="1"/>
  <c r="P4" i="1"/>
  <c r="Q4" i="1"/>
  <c r="S4" i="1" s="1"/>
  <c r="R4" i="1"/>
  <c r="M5" i="1"/>
  <c r="N5" i="1"/>
  <c r="O5" i="1"/>
  <c r="P5" i="1"/>
  <c r="Q5" i="1"/>
  <c r="R5" i="1"/>
  <c r="S5" i="1"/>
  <c r="M6" i="1"/>
  <c r="N6" i="1"/>
  <c r="O6" i="1"/>
  <c r="S6" i="1" s="1"/>
  <c r="P6" i="1"/>
  <c r="Q6" i="1"/>
  <c r="R6" i="1"/>
  <c r="V12" i="1"/>
  <c r="K32" i="1"/>
  <c r="J32" i="1"/>
  <c r="I32" i="1"/>
  <c r="H32" i="1"/>
  <c r="A32" i="1"/>
  <c r="K31" i="1"/>
  <c r="J31" i="1"/>
  <c r="I31" i="1"/>
  <c r="H31" i="1"/>
  <c r="A31" i="1"/>
  <c r="K30" i="1"/>
  <c r="I30" i="1"/>
  <c r="H30" i="1"/>
  <c r="A30" i="1"/>
  <c r="J30" i="1" s="1"/>
  <c r="K29" i="1"/>
  <c r="J29" i="1"/>
  <c r="I29" i="1"/>
  <c r="H29" i="1"/>
  <c r="A29" i="1"/>
  <c r="K28" i="1"/>
  <c r="J28" i="1"/>
  <c r="I28" i="1"/>
  <c r="H28" i="1"/>
  <c r="A28" i="1"/>
  <c r="K27" i="1"/>
  <c r="J27" i="1"/>
  <c r="I27" i="1"/>
  <c r="H27" i="1"/>
  <c r="A27" i="1"/>
  <c r="K26" i="1"/>
  <c r="J26" i="1"/>
  <c r="I26" i="1"/>
  <c r="H26" i="1"/>
  <c r="A26" i="1"/>
  <c r="K25" i="1"/>
  <c r="J25" i="1"/>
  <c r="I25" i="1"/>
  <c r="H25" i="1"/>
  <c r="A25" i="1"/>
  <c r="K24" i="1"/>
  <c r="J24" i="1"/>
  <c r="I24" i="1"/>
  <c r="H24" i="1"/>
  <c r="A24" i="1"/>
  <c r="K23" i="1"/>
  <c r="J23" i="1"/>
  <c r="I23" i="1"/>
  <c r="H23" i="1"/>
  <c r="A23" i="1"/>
  <c r="K22" i="1"/>
  <c r="J22" i="1"/>
  <c r="I22" i="1"/>
  <c r="H22" i="1"/>
  <c r="A22" i="1"/>
  <c r="K21" i="1"/>
  <c r="J21" i="1"/>
  <c r="I21" i="1"/>
  <c r="H21" i="1"/>
  <c r="A21" i="1"/>
  <c r="K20" i="1"/>
  <c r="J20" i="1"/>
  <c r="I20" i="1"/>
  <c r="H20" i="1"/>
  <c r="A20" i="1"/>
  <c r="K19" i="1"/>
  <c r="J19" i="1"/>
  <c r="I19" i="1"/>
  <c r="H19" i="1"/>
  <c r="A19" i="1"/>
  <c r="K18" i="1"/>
  <c r="J18" i="1"/>
  <c r="I18" i="1"/>
  <c r="H18" i="1"/>
  <c r="A18" i="1"/>
  <c r="K17" i="1"/>
  <c r="J17" i="1"/>
  <c r="I17" i="1"/>
  <c r="A17" i="1"/>
  <c r="H17" i="1" s="1"/>
  <c r="K16" i="1"/>
  <c r="J16" i="1"/>
  <c r="I16" i="1"/>
  <c r="H16" i="1"/>
  <c r="A16" i="1"/>
  <c r="K15" i="1"/>
  <c r="J15" i="1"/>
  <c r="I15" i="1"/>
  <c r="A15" i="1"/>
  <c r="H15" i="1" s="1"/>
  <c r="K14" i="1"/>
  <c r="J14" i="1"/>
  <c r="H14" i="1"/>
  <c r="A14" i="1"/>
  <c r="I14" i="1" s="1"/>
  <c r="K13" i="1"/>
  <c r="J13" i="1"/>
  <c r="H13" i="1"/>
  <c r="A13" i="1"/>
  <c r="I13" i="1" s="1"/>
  <c r="K12" i="1"/>
  <c r="J12" i="1"/>
  <c r="I12" i="1"/>
  <c r="H12" i="1"/>
  <c r="A12" i="1"/>
  <c r="K11" i="1"/>
  <c r="J11" i="1"/>
  <c r="I11" i="1"/>
  <c r="H11" i="1"/>
  <c r="A11" i="1"/>
  <c r="K10" i="1"/>
  <c r="J10" i="1"/>
  <c r="I10" i="1"/>
  <c r="A10" i="1"/>
  <c r="H10" i="1" s="1"/>
  <c r="K9" i="1"/>
  <c r="J9" i="1"/>
  <c r="I9" i="1"/>
  <c r="H9" i="1"/>
  <c r="A9" i="1"/>
  <c r="K8" i="1"/>
  <c r="J8" i="1"/>
  <c r="I8" i="1"/>
  <c r="H8" i="1"/>
  <c r="A8" i="1"/>
  <c r="K7" i="1"/>
  <c r="J7" i="1"/>
  <c r="I7" i="1"/>
  <c r="H7" i="1"/>
  <c r="A7" i="1"/>
  <c r="K6" i="1"/>
  <c r="J6" i="1"/>
  <c r="I6" i="1"/>
  <c r="H6" i="1"/>
  <c r="A6" i="1"/>
  <c r="K5" i="1"/>
  <c r="J5" i="1"/>
  <c r="I5" i="1"/>
  <c r="H5" i="1"/>
  <c r="A5" i="1"/>
  <c r="K4" i="1"/>
  <c r="J4" i="1"/>
  <c r="I4" i="1"/>
  <c r="H4" i="1"/>
  <c r="A4" i="1"/>
  <c r="K3" i="1"/>
  <c r="J3" i="1"/>
  <c r="I3" i="1"/>
  <c r="H3" i="1"/>
  <c r="A3" i="1"/>
  <c r="A1" i="1"/>
</calcChain>
</file>

<file path=xl/sharedStrings.xml><?xml version="1.0" encoding="utf-8"?>
<sst xmlns="http://schemas.openxmlformats.org/spreadsheetml/2006/main" count="182" uniqueCount="25">
  <si>
    <t>Shift Slots</t>
  </si>
  <si>
    <t>STAFF NAME</t>
  </si>
  <si>
    <t>Total Working Days</t>
  </si>
  <si>
    <t>S1</t>
  </si>
  <si>
    <t>S2</t>
  </si>
  <si>
    <t>S3</t>
  </si>
  <si>
    <t>OFF</t>
  </si>
  <si>
    <t>Total Working Hours</t>
  </si>
  <si>
    <t>Day</t>
  </si>
  <si>
    <t>JENSUN</t>
  </si>
  <si>
    <t>RAHUL</t>
  </si>
  <si>
    <t>ABHIJITH</t>
  </si>
  <si>
    <t>GEORGE</t>
  </si>
  <si>
    <t>PAVAN</t>
  </si>
  <si>
    <t>Shift Timings</t>
  </si>
  <si>
    <t>Number of holidays</t>
  </si>
  <si>
    <t>Slots</t>
  </si>
  <si>
    <t>Timing</t>
  </si>
  <si>
    <t>Number of working Days</t>
  </si>
  <si>
    <t>07:30 AM to 03:30 PM (08:00 Hrs)</t>
  </si>
  <si>
    <t>Month</t>
  </si>
  <si>
    <t>01:30 PM to 10:00 PM (08:30 Hrs)</t>
  </si>
  <si>
    <t>Total Woking Hours per person</t>
  </si>
  <si>
    <t>09:30 PM to 08:00 AM (10:30 Hrs)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</si>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</sst>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dddd\ \ \-\ \ \ mmm\ dd"/>
    <numFmt numFmtId="166" formatCode="[$-409]mmmm\-yy;@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7" tint="0.80001220740379042"/>
        </stop>
      </gradientFill>
    </fill>
    <fill>
      <patternFill patternType="solid">
        <fgColor theme="0"/>
        <bgColor indexed="64"/>
      </patternFill>
    </fill>
    <fill>
      <gradientFill degree="45">
        <stop position="0">
          <color theme="0"/>
        </stop>
        <stop position="1">
          <color rgb="FFFF0000"/>
        </stop>
      </gradient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165" fontId="0" fillId="4" borderId="1" xfId="0" applyNumberForma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1" xfId="0" applyNumberFormat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FD91-0C41-4AA7-A0F4-B269A32BC2CF}">
  <dimension ref="A1:V32"/>
  <sheetViews>
    <sheetView tabSelected="1" workbookViewId="0">
      <selection activeCell="C18" sqref="C18"/>
    </sheetView>
  </sheetViews>
  <sheetFormatPr defaultColWidth="7.75" defaultRowHeight="14.25"/>
  <cols>
    <col min="1" max="1" width="20.5" bestFit="1" customWidth="1"/>
    <col min="2" max="2" width="9.875" bestFit="1" customWidth="1"/>
    <col min="3" max="3" width="8.5" bestFit="1" customWidth="1"/>
    <col min="4" max="4" width="11.125" bestFit="1" customWidth="1"/>
    <col min="5" max="5" width="10.625" bestFit="1" customWidth="1"/>
    <col min="6" max="6" width="8.625" bestFit="1" customWidth="1"/>
    <col min="7" max="7" width="5.875" bestFit="1" customWidth="1"/>
    <col min="8" max="8" width="3.75" bestFit="1" customWidth="1"/>
    <col min="9" max="10" width="4" bestFit="1" customWidth="1"/>
    <col min="11" max="11" width="5.625" bestFit="1" customWidth="1"/>
    <col min="12" max="12" width="7.25" customWidth="1"/>
    <col min="13" max="13" width="15.375" bestFit="1" customWidth="1"/>
    <col min="14" max="14" width="21.5" bestFit="1" customWidth="1"/>
    <col min="15" max="15" width="3.75" bestFit="1" customWidth="1"/>
    <col min="16" max="17" width="4" bestFit="1" customWidth="1"/>
    <col min="18" max="18" width="5.625" bestFit="1" customWidth="1"/>
    <col min="19" max="19" width="22.5" bestFit="1" customWidth="1"/>
    <col min="22" max="22" width="13.5" bestFit="1" customWidth="1"/>
  </cols>
  <sheetData>
    <row r="1" spans="1:22" ht="15">
      <c r="A1" s="1">
        <f>$V$11</f>
        <v>46266</v>
      </c>
      <c r="B1" s="1"/>
      <c r="C1" s="1"/>
      <c r="D1" s="1"/>
      <c r="E1" s="1"/>
      <c r="F1" s="1"/>
      <c r="G1" s="2"/>
      <c r="H1" s="3" t="s">
        <v>0</v>
      </c>
      <c r="I1" s="4"/>
      <c r="J1" s="4"/>
      <c r="K1" s="4"/>
      <c r="L1" s="5"/>
      <c r="M1" s="6" t="s">
        <v>1</v>
      </c>
      <c r="N1" s="7" t="s">
        <v>2</v>
      </c>
      <c r="O1" s="7" t="s">
        <v>3</v>
      </c>
      <c r="P1" s="7" t="s">
        <v>4</v>
      </c>
      <c r="Q1" s="7" t="s">
        <v>5</v>
      </c>
      <c r="R1" s="7" t="s">
        <v>6</v>
      </c>
      <c r="S1" s="7" t="s">
        <v>7</v>
      </c>
    </row>
    <row r="2" spans="1:22" ht="15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2"/>
      <c r="H2" s="7" t="s">
        <v>3</v>
      </c>
      <c r="I2" s="7" t="s">
        <v>4</v>
      </c>
      <c r="J2" s="7" t="s">
        <v>5</v>
      </c>
      <c r="K2" s="7" t="s">
        <v>6</v>
      </c>
      <c r="L2" s="5"/>
      <c r="M2" s="9" t="str">
        <f>B2</f>
        <v>JENSUN</v>
      </c>
      <c r="N2" s="10">
        <f>$V$10</f>
        <v>22</v>
      </c>
      <c r="O2" s="10">
        <f>COUNTIF($B$3:$B$32,"S1")</f>
        <v>7</v>
      </c>
      <c r="P2" s="10">
        <f>COUNTIF($B$3:$B$32,"S2")</f>
        <v>5</v>
      </c>
      <c r="Q2" s="10">
        <f>COUNTIF($B$3:$B$32,"S3")</f>
        <v>6</v>
      </c>
      <c r="R2" s="10">
        <f>COUNTIF(B$3:B$32,"OFF")</f>
        <v>12</v>
      </c>
      <c r="S2" s="10">
        <f>SUM((O2*8),(P2*8.5),(Q2*10.5))</f>
        <v>161.5</v>
      </c>
    </row>
    <row r="3" spans="1:22" ht="15">
      <c r="A3" s="11">
        <f>$V$11</f>
        <v>46266</v>
      </c>
      <c r="B3" s="12" t="s">
        <v>6</v>
      </c>
      <c r="C3" s="12" t="s">
        <v>5</v>
      </c>
      <c r="D3" s="12" t="s">
        <v>6</v>
      </c>
      <c r="E3" s="12" t="s">
        <v>3</v>
      </c>
      <c r="F3" s="12" t="s">
        <v>4</v>
      </c>
      <c r="G3" s="2"/>
      <c r="H3" s="10">
        <f>COUNTIF($B3:$F3,"S1")</f>
        <v>1</v>
      </c>
      <c r="I3" s="10">
        <f>COUNTIF(B3:F3,"S2")</f>
        <v>1</v>
      </c>
      <c r="J3" s="10">
        <f>COUNTIF(B3:F3,"S3")</f>
        <v>1</v>
      </c>
      <c r="K3" s="10">
        <f>COUNTIF(B3:F3,"OFF")</f>
        <v>2</v>
      </c>
      <c r="L3" s="5"/>
      <c r="M3" s="9" t="str">
        <f>C2</f>
        <v>RAHUL</v>
      </c>
      <c r="N3" s="10">
        <f>$V$10</f>
        <v>22</v>
      </c>
      <c r="O3" s="10">
        <f>COUNTIF($C$3:$C$32,"S1")</f>
        <v>8</v>
      </c>
      <c r="P3" s="10">
        <f>COUNTIF($C$3:$C$32,"S2")</f>
        <v>5</v>
      </c>
      <c r="Q3" s="10">
        <f>COUNTIF($C$3:$C$32,"S3")</f>
        <v>5</v>
      </c>
      <c r="R3" s="10">
        <f>COUNTIF(C$3:C$32,"OFF")</f>
        <v>12</v>
      </c>
      <c r="S3" s="10">
        <f t="shared" ref="S3:S5" si="0">SUM((O3*8),(P3*8.5),(Q3*10.5))</f>
        <v>159</v>
      </c>
    </row>
    <row r="4" spans="1:22" ht="15">
      <c r="A4" s="11">
        <f>$V$11+1</f>
        <v>46267</v>
      </c>
      <c r="B4" s="12" t="s">
        <v>3</v>
      </c>
      <c r="C4" s="12" t="s">
        <v>5</v>
      </c>
      <c r="D4" s="12" t="s">
        <v>4</v>
      </c>
      <c r="E4" s="12" t="s">
        <v>6</v>
      </c>
      <c r="F4" s="12" t="s">
        <v>6</v>
      </c>
      <c r="G4" s="2"/>
      <c r="H4" s="10">
        <f t="shared" ref="H4:H29" si="1">COUNTIF($B4:$F4,"S1")</f>
        <v>1</v>
      </c>
      <c r="I4" s="10">
        <f t="shared" ref="I4:I29" si="2">COUNTIF(B4:F4,"S2")</f>
        <v>1</v>
      </c>
      <c r="J4" s="10">
        <f t="shared" ref="J4:J29" si="3">COUNTIF(B4:F4,"S3")</f>
        <v>1</v>
      </c>
      <c r="K4" s="10">
        <f t="shared" ref="K4:K29" si="4">COUNTIF(B4:F4,"OFF")</f>
        <v>2</v>
      </c>
      <c r="L4" s="5"/>
      <c r="M4" s="9" t="str">
        <f>D2</f>
        <v>ABHIJITH</v>
      </c>
      <c r="N4" s="10">
        <f>$V$10</f>
        <v>22</v>
      </c>
      <c r="O4" s="10">
        <f>COUNTIF($D$3:$D$32,"S1")</f>
        <v>2</v>
      </c>
      <c r="P4" s="10">
        <f>COUNTIF($D$3:$D$32,"S2")</f>
        <v>10</v>
      </c>
      <c r="Q4" s="10">
        <f>COUNTIF($D$3:$D$32,"S3")</f>
        <v>6</v>
      </c>
      <c r="R4" s="10">
        <f>COUNTIF(D$3:D$32,"OFF")</f>
        <v>12</v>
      </c>
      <c r="S4" s="10">
        <f>SUM((O4*8),(P4*8.5),(Q4*10.5))</f>
        <v>164</v>
      </c>
    </row>
    <row r="5" spans="1:22" ht="15">
      <c r="A5" s="11">
        <f>$V$11+2</f>
        <v>46268</v>
      </c>
      <c r="B5" s="12" t="s">
        <v>5</v>
      </c>
      <c r="C5" s="12" t="s">
        <v>6</v>
      </c>
      <c r="D5" s="12" t="s">
        <v>6</v>
      </c>
      <c r="E5" s="12" t="s">
        <v>3</v>
      </c>
      <c r="F5" s="12" t="s">
        <v>4</v>
      </c>
      <c r="G5" s="2"/>
      <c r="H5" s="10">
        <f>COUNTIF($B5:$F5,"S1")</f>
        <v>1</v>
      </c>
      <c r="I5" s="10">
        <f>COUNTIF(B5:F5,"S2")</f>
        <v>1</v>
      </c>
      <c r="J5" s="10">
        <f>COUNTIF(B5:F5,"S3")</f>
        <v>1</v>
      </c>
      <c r="K5" s="10">
        <f>COUNTIF(B5:F5,"OFF")</f>
        <v>2</v>
      </c>
      <c r="L5" s="5"/>
      <c r="M5" s="9" t="str">
        <f>E2</f>
        <v>GEORGE</v>
      </c>
      <c r="N5" s="10">
        <f>$V$10</f>
        <v>22</v>
      </c>
      <c r="O5" s="10">
        <f>COUNTIF($E$3:$E$32,"S1")</f>
        <v>6</v>
      </c>
      <c r="P5" s="10">
        <f>COUNTIF($E$3:$E$32,"S2")</f>
        <v>6</v>
      </c>
      <c r="Q5" s="10">
        <f>COUNTIF($E$3:$E$32,"S3")</f>
        <v>6</v>
      </c>
      <c r="R5" s="10">
        <f>COUNTIF(E$3:E$32,"OFF")</f>
        <v>12</v>
      </c>
      <c r="S5" s="10">
        <f t="shared" si="0"/>
        <v>162</v>
      </c>
    </row>
    <row r="6" spans="1:22" ht="15">
      <c r="A6" s="13">
        <f>$V$11+3</f>
        <v>46269</v>
      </c>
      <c r="B6" s="12" t="s">
        <v>6</v>
      </c>
      <c r="C6" s="12" t="s">
        <v>6</v>
      </c>
      <c r="D6" s="12" t="s">
        <v>4</v>
      </c>
      <c r="E6" s="12" t="s">
        <v>5</v>
      </c>
      <c r="F6" s="12" t="s">
        <v>3</v>
      </c>
      <c r="G6" s="2"/>
      <c r="H6" s="10">
        <f>COUNTIF($C6:$F6,"S1")</f>
        <v>1</v>
      </c>
      <c r="I6" s="10">
        <f>COUNTIF(C6:F6,"S2")</f>
        <v>1</v>
      </c>
      <c r="J6" s="10">
        <f>COUNTIF(C6:F6,"S3")</f>
        <v>1</v>
      </c>
      <c r="K6" s="10">
        <f>COUNTIF(C6:F6,"OFF")</f>
        <v>1</v>
      </c>
      <c r="L6" s="5"/>
      <c r="M6" s="9" t="str">
        <f>F2</f>
        <v>PAVAN</v>
      </c>
      <c r="N6" s="10">
        <f>$V$10</f>
        <v>22</v>
      </c>
      <c r="O6" s="10">
        <f>COUNTIF($F$3:$F$32,"S1")</f>
        <v>7</v>
      </c>
      <c r="P6" s="10">
        <f>COUNTIF($F$3:$F$32,"S2")</f>
        <v>4</v>
      </c>
      <c r="Q6" s="10">
        <f>COUNTIF($F$3:$F$32,"S3")</f>
        <v>7</v>
      </c>
      <c r="R6" s="10">
        <f>COUNTIF(F$3:F$32,"OFF")</f>
        <v>12</v>
      </c>
      <c r="S6" s="10">
        <f>SUM((O6*8),(P6*8.5),(Q6*10.5))</f>
        <v>163.5</v>
      </c>
    </row>
    <row r="7" spans="1:22" ht="15">
      <c r="A7" s="11">
        <f>$V$11+4</f>
        <v>46270</v>
      </c>
      <c r="B7" s="12" t="s">
        <v>6</v>
      </c>
      <c r="C7" s="12" t="s">
        <v>6</v>
      </c>
      <c r="D7" s="12" t="s">
        <v>4</v>
      </c>
      <c r="E7" s="12" t="s">
        <v>5</v>
      </c>
      <c r="F7" s="12" t="s">
        <v>3</v>
      </c>
      <c r="G7" s="2"/>
      <c r="H7" s="10">
        <f>COUNTIF($B7:$F7,"S1")</f>
        <v>1</v>
      </c>
      <c r="I7" s="10">
        <f>COUNTIF(B7:F7,"S2")</f>
        <v>1</v>
      </c>
      <c r="J7" s="10">
        <f>COUNTIF(B7:F7,"S3")</f>
        <v>1</v>
      </c>
      <c r="K7" s="10">
        <f>COUNTIF(B7:F7,"OFF")</f>
        <v>2</v>
      </c>
      <c r="L7" s="5"/>
      <c r="M7" s="5"/>
      <c r="N7" s="5"/>
      <c r="O7" s="5"/>
      <c r="P7" s="5"/>
      <c r="Q7" s="5"/>
      <c r="R7" s="5"/>
      <c r="S7" s="5"/>
    </row>
    <row r="8" spans="1:22" ht="15">
      <c r="A8" s="13">
        <f>$V$11+5</f>
        <v>46271</v>
      </c>
      <c r="B8" s="12" t="s">
        <v>4</v>
      </c>
      <c r="C8" s="12" t="s">
        <v>5</v>
      </c>
      <c r="D8" s="12" t="s">
        <v>3</v>
      </c>
      <c r="E8" s="12" t="s">
        <v>6</v>
      </c>
      <c r="F8" s="12" t="s">
        <v>6</v>
      </c>
      <c r="G8" s="2"/>
      <c r="H8" s="10">
        <f t="shared" si="1"/>
        <v>1</v>
      </c>
      <c r="I8" s="10">
        <f t="shared" si="2"/>
        <v>1</v>
      </c>
      <c r="J8" s="10">
        <f t="shared" si="3"/>
        <v>1</v>
      </c>
      <c r="K8" s="10">
        <f t="shared" si="4"/>
        <v>2</v>
      </c>
      <c r="L8" s="5"/>
      <c r="M8" s="5"/>
      <c r="N8" s="5"/>
      <c r="O8" s="5"/>
      <c r="P8" s="5"/>
      <c r="Q8" s="5"/>
      <c r="R8" s="5"/>
      <c r="S8" s="5"/>
    </row>
    <row r="9" spans="1:22" ht="15">
      <c r="A9" s="11">
        <f>$V$11+6</f>
        <v>46272</v>
      </c>
      <c r="B9" s="12" t="s">
        <v>3</v>
      </c>
      <c r="C9" s="12" t="s">
        <v>5</v>
      </c>
      <c r="D9" s="12" t="s">
        <v>6</v>
      </c>
      <c r="E9" s="12" t="s">
        <v>4</v>
      </c>
      <c r="F9" s="12" t="s">
        <v>6</v>
      </c>
      <c r="G9" s="2"/>
      <c r="H9" s="10">
        <f t="shared" si="1"/>
        <v>1</v>
      </c>
      <c r="I9" s="10">
        <f t="shared" si="2"/>
        <v>1</v>
      </c>
      <c r="J9" s="10">
        <f t="shared" si="3"/>
        <v>1</v>
      </c>
      <c r="K9" s="10">
        <f t="shared" si="4"/>
        <v>2</v>
      </c>
      <c r="L9" s="5"/>
      <c r="M9" s="14" t="s">
        <v>14</v>
      </c>
      <c r="N9" s="15"/>
      <c r="O9" s="15"/>
      <c r="P9" s="15"/>
      <c r="Q9" s="16"/>
      <c r="R9" s="5"/>
      <c r="S9" s="29" t="s">
        <v>15</v>
      </c>
      <c r="T9" s="30"/>
      <c r="U9" s="31"/>
      <c r="V9" s="17">
        <v>8</v>
      </c>
    </row>
    <row r="10" spans="1:22" ht="15">
      <c r="A10" s="11">
        <f>$V$11+7</f>
        <v>46273</v>
      </c>
      <c r="B10" s="12" t="s">
        <v>3</v>
      </c>
      <c r="C10" s="12" t="s">
        <v>5</v>
      </c>
      <c r="D10" s="12" t="s">
        <v>6</v>
      </c>
      <c r="E10" s="12" t="s">
        <v>6</v>
      </c>
      <c r="F10" s="12" t="s">
        <v>4</v>
      </c>
      <c r="G10" s="2"/>
      <c r="H10" s="10">
        <f>COUNTIF($A10:$F10,"S1")</f>
        <v>1</v>
      </c>
      <c r="I10" s="10">
        <f>COUNTIF(C10:F10,"S2")</f>
        <v>1</v>
      </c>
      <c r="J10" s="10">
        <f>COUNTIF(C10:F10,"S3")</f>
        <v>1</v>
      </c>
      <c r="K10" s="10">
        <f>COUNTIF(C10:F10,"OFF")</f>
        <v>2</v>
      </c>
      <c r="L10" s="5"/>
      <c r="M10" s="7" t="s">
        <v>16</v>
      </c>
      <c r="N10" s="14" t="s">
        <v>17</v>
      </c>
      <c r="O10" s="15"/>
      <c r="P10" s="15"/>
      <c r="Q10" s="16"/>
      <c r="R10" s="5"/>
      <c r="S10" s="29" t="s">
        <v>18</v>
      </c>
      <c r="T10" s="30"/>
      <c r="U10" s="31"/>
      <c r="V10" s="18">
        <v>22</v>
      </c>
    </row>
    <row r="11" spans="1:22" ht="15">
      <c r="A11" s="11">
        <f>$V$11+8</f>
        <v>46274</v>
      </c>
      <c r="B11" s="12" t="s">
        <v>5</v>
      </c>
      <c r="C11" s="12" t="s">
        <v>6</v>
      </c>
      <c r="D11" s="12" t="s">
        <v>4</v>
      </c>
      <c r="E11" s="12" t="s">
        <v>6</v>
      </c>
      <c r="F11" s="12" t="s">
        <v>3</v>
      </c>
      <c r="G11" s="2"/>
      <c r="H11" s="10">
        <f t="shared" si="1"/>
        <v>1</v>
      </c>
      <c r="I11" s="10">
        <f t="shared" si="2"/>
        <v>1</v>
      </c>
      <c r="J11" s="10">
        <f t="shared" si="3"/>
        <v>1</v>
      </c>
      <c r="K11" s="10">
        <f t="shared" si="4"/>
        <v>2</v>
      </c>
      <c r="L11" s="5"/>
      <c r="M11" s="10" t="s">
        <v>3</v>
      </c>
      <c r="N11" s="19" t="s">
        <v>19</v>
      </c>
      <c r="O11" s="20"/>
      <c r="P11" s="20"/>
      <c r="Q11" s="21"/>
      <c r="R11" s="5"/>
      <c r="S11" s="29" t="s">
        <v>20</v>
      </c>
      <c r="T11" s="30"/>
      <c r="U11" s="31"/>
      <c r="V11" s="22">
        <v>46266</v>
      </c>
    </row>
    <row r="12" spans="1:22" ht="15">
      <c r="A12" s="11">
        <f>$V$11+9</f>
        <v>46275</v>
      </c>
      <c r="B12" s="12" t="s">
        <v>5</v>
      </c>
      <c r="C12" s="12" t="s">
        <v>3</v>
      </c>
      <c r="D12" s="12" t="s">
        <v>6</v>
      </c>
      <c r="E12" s="12" t="s">
        <v>4</v>
      </c>
      <c r="F12" s="12" t="s">
        <v>6</v>
      </c>
      <c r="G12" s="2"/>
      <c r="H12" s="10">
        <f>COUNTIF($B12:$E12,"S1")</f>
        <v>1</v>
      </c>
      <c r="I12" s="10">
        <f>COUNTIF(B12:F12,"S2")</f>
        <v>1</v>
      </c>
      <c r="J12" s="10">
        <f>COUNTIF(B12:E12,"S3")</f>
        <v>1</v>
      </c>
      <c r="K12" s="10">
        <f>COUNTIF(B12:E12,"OFF")</f>
        <v>1</v>
      </c>
      <c r="L12" s="5"/>
      <c r="M12" s="10" t="s">
        <v>4</v>
      </c>
      <c r="N12" s="19" t="s">
        <v>21</v>
      </c>
      <c r="O12" s="20"/>
      <c r="P12" s="20"/>
      <c r="Q12" s="21"/>
      <c r="R12" s="5"/>
      <c r="S12" s="29" t="s">
        <v>22</v>
      </c>
      <c r="T12" s="30"/>
      <c r="U12" s="31"/>
      <c r="V12" s="10">
        <f>V10*7</f>
        <v>154</v>
      </c>
    </row>
    <row r="13" spans="1:22" ht="15">
      <c r="A13" s="11">
        <f>$V$11+10</f>
        <v>46276</v>
      </c>
      <c r="B13" s="12" t="s">
        <v>6</v>
      </c>
      <c r="C13" s="12" t="s">
        <v>3</v>
      </c>
      <c r="D13" s="12" t="s">
        <v>5</v>
      </c>
      <c r="E13" s="23" t="s">
        <v>4</v>
      </c>
      <c r="F13" s="12" t="s">
        <v>6</v>
      </c>
      <c r="G13" s="2"/>
      <c r="H13" s="10">
        <f>COUNTIF($C13:$E13,"S1")</f>
        <v>1</v>
      </c>
      <c r="I13" s="10">
        <f>COUNTIF(A13:F13,"S2")</f>
        <v>1</v>
      </c>
      <c r="J13" s="10">
        <f>COUNTIF(C13:E13,"S3")</f>
        <v>1</v>
      </c>
      <c r="K13" s="10">
        <f>COUNTIF(C13:F13,"OFF")</f>
        <v>1</v>
      </c>
      <c r="L13" s="5"/>
      <c r="M13" s="10" t="s">
        <v>5</v>
      </c>
      <c r="N13" s="19" t="s">
        <v>23</v>
      </c>
      <c r="O13" s="20"/>
      <c r="P13" s="20"/>
      <c r="Q13" s="21"/>
      <c r="R13" s="5"/>
    </row>
    <row r="14" spans="1:22" ht="15">
      <c r="A14" s="13">
        <f>$V$11+11</f>
        <v>46277</v>
      </c>
      <c r="B14" s="12" t="s">
        <v>6</v>
      </c>
      <c r="C14" s="12" t="s">
        <v>6</v>
      </c>
      <c r="D14" s="12" t="s">
        <v>5</v>
      </c>
      <c r="E14" s="12" t="s">
        <v>4</v>
      </c>
      <c r="F14" s="12" t="s">
        <v>3</v>
      </c>
      <c r="G14" s="2"/>
      <c r="H14" s="10">
        <f>COUNTIF($B14:$F14,"S1")</f>
        <v>1</v>
      </c>
      <c r="I14" s="10">
        <f>COUNTIF(A14:F14,"S2")</f>
        <v>1</v>
      </c>
      <c r="J14" s="10">
        <f>COUNTIF(B14:E14,"S3")</f>
        <v>1</v>
      </c>
      <c r="K14" s="10">
        <f>COUNTIF(B14:E14,"OFF")</f>
        <v>2</v>
      </c>
      <c r="L14" s="5"/>
      <c r="M14" s="5"/>
      <c r="N14" s="5"/>
      <c r="O14" s="5"/>
      <c r="P14" s="5"/>
      <c r="Q14" s="5"/>
      <c r="R14" s="5"/>
    </row>
    <row r="15" spans="1:22" ht="15">
      <c r="A15" s="13">
        <f>$V$11+12</f>
        <v>46278</v>
      </c>
      <c r="B15" s="23" t="s">
        <v>4</v>
      </c>
      <c r="C15" s="12" t="s">
        <v>6</v>
      </c>
      <c r="D15" s="12" t="s">
        <v>5</v>
      </c>
      <c r="E15" s="12" t="s">
        <v>6</v>
      </c>
      <c r="F15" s="12" t="s">
        <v>3</v>
      </c>
      <c r="G15" s="2"/>
      <c r="H15" s="10">
        <f>COUNTIF($A15:$F15,"S1")</f>
        <v>1</v>
      </c>
      <c r="I15" s="10">
        <f>COUNTIF(C15:E15,"S2")</f>
        <v>0</v>
      </c>
      <c r="J15" s="10">
        <f>COUNTIF(C15:E15,"S3")</f>
        <v>1</v>
      </c>
      <c r="K15" s="10">
        <f>COUNTIF(C15:E15,"OFF")</f>
        <v>2</v>
      </c>
      <c r="L15" s="5"/>
      <c r="M15" s="5"/>
      <c r="R15" s="5"/>
    </row>
    <row r="16" spans="1:22" ht="15">
      <c r="A16" s="11">
        <f>$V$11+13</f>
        <v>46279</v>
      </c>
      <c r="B16" s="12" t="s">
        <v>3</v>
      </c>
      <c r="C16" s="12" t="s">
        <v>4</v>
      </c>
      <c r="D16" s="12" t="s">
        <v>5</v>
      </c>
      <c r="E16" s="12" t="s">
        <v>6</v>
      </c>
      <c r="F16" s="12" t="s">
        <v>6</v>
      </c>
      <c r="G16" s="2"/>
      <c r="H16" s="10">
        <f>COUNTIF($B16:$D16,"S1")</f>
        <v>1</v>
      </c>
      <c r="I16" s="10">
        <f>COUNTIF(B16:D16,"S2")</f>
        <v>1</v>
      </c>
      <c r="J16" s="10">
        <f>COUNTIF(B16:D16,"S3")</f>
        <v>1</v>
      </c>
      <c r="K16" s="10">
        <f>COUNTIF(B16:F16,"OFF")</f>
        <v>2</v>
      </c>
      <c r="L16" s="5"/>
      <c r="R16" s="5"/>
    </row>
    <row r="17" spans="1:19" ht="15">
      <c r="A17" s="11">
        <f>$V$11+14</f>
        <v>46280</v>
      </c>
      <c r="B17" s="12" t="s">
        <v>5</v>
      </c>
      <c r="C17" s="12" t="s">
        <v>3</v>
      </c>
      <c r="D17" s="12" t="s">
        <v>6</v>
      </c>
      <c r="E17" s="23" t="s">
        <v>4</v>
      </c>
      <c r="F17" s="12" t="s">
        <v>6</v>
      </c>
      <c r="G17" s="2"/>
      <c r="H17" s="10">
        <f>COUNTIF($A17:$F17,"S1")</f>
        <v>1</v>
      </c>
      <c r="I17" s="10">
        <f>COUNTIF(B17:F17,"S2")</f>
        <v>1</v>
      </c>
      <c r="J17" s="10">
        <f>COUNTIF(B17:F17,"S3")</f>
        <v>1</v>
      </c>
      <c r="K17" s="10">
        <f>COUNTIF(B17:F17,"OFF")</f>
        <v>2</v>
      </c>
      <c r="L17" s="5"/>
      <c r="R17" s="5"/>
      <c r="S17" s="5"/>
    </row>
    <row r="18" spans="1:19" ht="15">
      <c r="A18" s="11">
        <f>$V$11+15</f>
        <v>46281</v>
      </c>
      <c r="B18" s="12" t="s">
        <v>5</v>
      </c>
      <c r="C18" s="12" t="s">
        <v>6</v>
      </c>
      <c r="D18" s="12" t="s">
        <v>4</v>
      </c>
      <c r="E18" s="12" t="s">
        <v>3</v>
      </c>
      <c r="F18" s="12" t="s">
        <v>6</v>
      </c>
      <c r="G18" s="2"/>
      <c r="H18" s="10">
        <f t="shared" si="1"/>
        <v>1</v>
      </c>
      <c r="I18" s="10">
        <f t="shared" si="2"/>
        <v>1</v>
      </c>
      <c r="J18" s="10">
        <f t="shared" si="3"/>
        <v>1</v>
      </c>
      <c r="K18" s="10">
        <f t="shared" si="4"/>
        <v>2</v>
      </c>
      <c r="L18" s="5"/>
      <c r="R18" s="5"/>
      <c r="S18" s="5"/>
    </row>
    <row r="19" spans="1:19" ht="15">
      <c r="A19" s="11">
        <f>$V$11+16</f>
        <v>46282</v>
      </c>
      <c r="B19" s="12" t="s">
        <v>5</v>
      </c>
      <c r="C19" s="12" t="s">
        <v>6</v>
      </c>
      <c r="D19" s="12" t="s">
        <v>6</v>
      </c>
      <c r="E19" s="12" t="s">
        <v>3</v>
      </c>
      <c r="F19" s="12" t="s">
        <v>4</v>
      </c>
      <c r="G19" s="2"/>
      <c r="H19" s="10">
        <f t="shared" si="1"/>
        <v>1</v>
      </c>
      <c r="I19" s="10">
        <f t="shared" si="2"/>
        <v>1</v>
      </c>
      <c r="J19" s="10">
        <f t="shared" si="3"/>
        <v>1</v>
      </c>
      <c r="K19" s="10">
        <f t="shared" si="4"/>
        <v>2</v>
      </c>
      <c r="L19" s="5"/>
      <c r="M19" s="5"/>
      <c r="N19" s="5"/>
      <c r="O19" s="5"/>
      <c r="P19" s="5"/>
      <c r="Q19" s="5"/>
      <c r="R19" s="5"/>
      <c r="S19" s="5"/>
    </row>
    <row r="20" spans="1:19" ht="15">
      <c r="A20" s="11">
        <f>$V$11+17</f>
        <v>46283</v>
      </c>
      <c r="B20" s="12" t="s">
        <v>6</v>
      </c>
      <c r="C20" s="23" t="s">
        <v>3</v>
      </c>
      <c r="D20" s="12" t="s">
        <v>4</v>
      </c>
      <c r="E20" s="12" t="s">
        <v>6</v>
      </c>
      <c r="F20" s="12" t="s">
        <v>5</v>
      </c>
      <c r="G20" s="2"/>
      <c r="H20" s="10">
        <f>COUNTIF($D20:$F20,"S1")</f>
        <v>0</v>
      </c>
      <c r="I20" s="10">
        <f>COUNTIF(D20:F20,"S2")</f>
        <v>1</v>
      </c>
      <c r="J20" s="10">
        <f>COUNTIF(D20:F20,"S3")</f>
        <v>1</v>
      </c>
      <c r="K20" s="10">
        <f>COUNTIF(D20:F20,"OFF")</f>
        <v>1</v>
      </c>
      <c r="L20" s="5"/>
      <c r="M20" s="5"/>
      <c r="N20" s="5"/>
      <c r="O20" s="5"/>
      <c r="P20" s="5"/>
      <c r="Q20" s="5"/>
      <c r="R20" s="5"/>
      <c r="S20" s="5"/>
    </row>
    <row r="21" spans="1:19" ht="15">
      <c r="A21" s="11">
        <f>$V$11+18</f>
        <v>46284</v>
      </c>
      <c r="B21" s="12" t="s">
        <v>6</v>
      </c>
      <c r="C21" s="12" t="s">
        <v>3</v>
      </c>
      <c r="D21" s="12" t="s">
        <v>4</v>
      </c>
      <c r="E21" s="12" t="s">
        <v>6</v>
      </c>
      <c r="F21" s="12" t="s">
        <v>5</v>
      </c>
      <c r="G21" s="2"/>
      <c r="H21" s="10">
        <f t="shared" si="1"/>
        <v>1</v>
      </c>
      <c r="I21" s="10">
        <f t="shared" si="2"/>
        <v>1</v>
      </c>
      <c r="J21" s="10">
        <f t="shared" si="3"/>
        <v>1</v>
      </c>
      <c r="K21" s="10">
        <f t="shared" si="4"/>
        <v>2</v>
      </c>
      <c r="L21" s="5"/>
      <c r="M21" s="24"/>
      <c r="N21" s="24"/>
      <c r="O21" s="5"/>
      <c r="P21" s="5"/>
      <c r="Q21" s="5"/>
      <c r="R21" s="5"/>
      <c r="S21" s="5"/>
    </row>
    <row r="22" spans="1:19" ht="15">
      <c r="A22" s="13">
        <f>$V$11+19</f>
        <v>46285</v>
      </c>
      <c r="B22" s="12" t="s">
        <v>6</v>
      </c>
      <c r="C22" s="12" t="s">
        <v>6</v>
      </c>
      <c r="D22" s="12" t="s">
        <v>4</v>
      </c>
      <c r="E22" s="12" t="s">
        <v>3</v>
      </c>
      <c r="F22" s="12" t="s">
        <v>5</v>
      </c>
      <c r="G22" s="2"/>
      <c r="H22" s="10">
        <f t="shared" si="1"/>
        <v>1</v>
      </c>
      <c r="I22" s="10">
        <f t="shared" si="2"/>
        <v>1</v>
      </c>
      <c r="J22" s="10">
        <f t="shared" si="3"/>
        <v>1</v>
      </c>
      <c r="K22" s="10">
        <f t="shared" si="4"/>
        <v>2</v>
      </c>
      <c r="L22" s="5"/>
      <c r="M22" s="5"/>
      <c r="N22" s="5"/>
      <c r="O22" s="5"/>
      <c r="P22" s="5"/>
      <c r="Q22" s="5"/>
      <c r="R22" s="5"/>
      <c r="S22" s="5"/>
    </row>
    <row r="23" spans="1:19" ht="15">
      <c r="A23" s="13">
        <f>$V$11+20</f>
        <v>46286</v>
      </c>
      <c r="B23" s="12" t="s">
        <v>4</v>
      </c>
      <c r="C23" s="12" t="s">
        <v>6</v>
      </c>
      <c r="D23" s="12" t="s">
        <v>3</v>
      </c>
      <c r="E23" s="12" t="s">
        <v>6</v>
      </c>
      <c r="F23" s="12" t="s">
        <v>5</v>
      </c>
      <c r="G23" s="2"/>
      <c r="H23" s="10">
        <f t="shared" si="1"/>
        <v>1</v>
      </c>
      <c r="I23" s="10">
        <f t="shared" si="2"/>
        <v>1</v>
      </c>
      <c r="J23" s="10">
        <f t="shared" si="3"/>
        <v>1</v>
      </c>
      <c r="K23" s="10">
        <f t="shared" si="4"/>
        <v>2</v>
      </c>
      <c r="L23" s="5"/>
      <c r="M23" s="25"/>
      <c r="N23" s="25"/>
      <c r="O23" s="2"/>
      <c r="P23" s="5"/>
      <c r="Q23" s="5"/>
      <c r="R23" s="5"/>
      <c r="S23" s="5"/>
    </row>
    <row r="24" spans="1:19" ht="15">
      <c r="A24" s="11">
        <f>$V$11+21</f>
        <v>46287</v>
      </c>
      <c r="B24" s="26" t="s">
        <v>3</v>
      </c>
      <c r="C24" s="12" t="s">
        <v>4</v>
      </c>
      <c r="D24" s="12" t="s">
        <v>6</v>
      </c>
      <c r="E24" s="12" t="s">
        <v>5</v>
      </c>
      <c r="F24" s="12" t="s">
        <v>6</v>
      </c>
      <c r="G24" s="2"/>
      <c r="H24" s="10">
        <f t="shared" si="1"/>
        <v>1</v>
      </c>
      <c r="I24" s="10">
        <f t="shared" si="2"/>
        <v>1</v>
      </c>
      <c r="J24" s="10">
        <f t="shared" si="3"/>
        <v>1</v>
      </c>
      <c r="K24" s="10">
        <f t="shared" si="4"/>
        <v>2</v>
      </c>
      <c r="L24" s="5"/>
      <c r="M24" s="25"/>
      <c r="N24" s="25"/>
      <c r="O24" s="5"/>
      <c r="P24" s="5"/>
      <c r="Q24" s="5"/>
      <c r="R24" s="5"/>
    </row>
    <row r="25" spans="1:19" ht="15">
      <c r="A25" s="11">
        <f>$V$11+22</f>
        <v>46288</v>
      </c>
      <c r="B25" s="12" t="s">
        <v>6</v>
      </c>
      <c r="C25" s="26" t="s">
        <v>3</v>
      </c>
      <c r="D25" s="12" t="s">
        <v>4</v>
      </c>
      <c r="E25" s="12" t="s">
        <v>5</v>
      </c>
      <c r="F25" s="12" t="s">
        <v>6</v>
      </c>
      <c r="G25" s="2"/>
      <c r="H25" s="10">
        <f>COUNTIF($B25:$F25,"S1")</f>
        <v>1</v>
      </c>
      <c r="I25" s="10">
        <f>COUNTIF(B25:F25,"S2")</f>
        <v>1</v>
      </c>
      <c r="J25" s="10">
        <f>COUNTIF(B25:F25,"S3")</f>
        <v>1</v>
      </c>
      <c r="K25" s="10">
        <f>COUNTIF(B25:F25,"OFF")</f>
        <v>2</v>
      </c>
      <c r="L25" s="5"/>
      <c r="M25" s="25"/>
      <c r="N25" s="25"/>
      <c r="O25" s="5"/>
      <c r="P25" s="5"/>
      <c r="Q25" s="5"/>
      <c r="R25" s="5"/>
    </row>
    <row r="26" spans="1:19" ht="15">
      <c r="A26" s="11">
        <f>$V$11+23</f>
        <v>46289</v>
      </c>
      <c r="B26" s="12" t="s">
        <v>6</v>
      </c>
      <c r="C26" s="26" t="s">
        <v>4</v>
      </c>
      <c r="D26" s="12" t="s">
        <v>6</v>
      </c>
      <c r="E26" s="12" t="s">
        <v>5</v>
      </c>
      <c r="F26" s="12" t="s">
        <v>3</v>
      </c>
      <c r="G26" s="2"/>
      <c r="H26" s="10">
        <f t="shared" si="1"/>
        <v>1</v>
      </c>
      <c r="I26" s="10">
        <f t="shared" si="2"/>
        <v>1</v>
      </c>
      <c r="J26" s="10">
        <f t="shared" si="3"/>
        <v>1</v>
      </c>
      <c r="K26" s="10">
        <f t="shared" si="4"/>
        <v>2</v>
      </c>
      <c r="L26" s="5"/>
      <c r="M26" s="27" t="s">
        <v>24</v>
      </c>
      <c r="N26" s="27"/>
      <c r="Q26" s="5"/>
      <c r="R26" s="5"/>
    </row>
    <row r="27" spans="1:19" ht="15">
      <c r="A27" s="11">
        <f>$V$11+24</f>
        <v>46290</v>
      </c>
      <c r="B27" s="12" t="s">
        <v>4</v>
      </c>
      <c r="C27" s="12" t="s">
        <v>3</v>
      </c>
      <c r="D27" s="12" t="s">
        <v>5</v>
      </c>
      <c r="E27" s="12" t="s">
        <v>6</v>
      </c>
      <c r="F27" s="12" t="s">
        <v>6</v>
      </c>
      <c r="G27" s="2"/>
      <c r="H27" s="10">
        <f>COUNTIF($B27:$E27,"S1")</f>
        <v>1</v>
      </c>
      <c r="I27" s="10">
        <f>COUNTIF(B27:E27,"S2")</f>
        <v>1</v>
      </c>
      <c r="J27" s="10">
        <f>COUNTIF(B27:E27,"S3")</f>
        <v>1</v>
      </c>
      <c r="K27" s="10">
        <f>COUNTIF(B27:F27,"OFF")</f>
        <v>2</v>
      </c>
      <c r="L27" s="5"/>
      <c r="M27" s="25"/>
      <c r="N27" s="25"/>
      <c r="O27" s="2"/>
      <c r="R27" s="5"/>
      <c r="S27" s="5"/>
    </row>
    <row r="28" spans="1:19" ht="15">
      <c r="A28" s="13">
        <f>$V$11+25</f>
        <v>46291</v>
      </c>
      <c r="B28" s="12" t="s">
        <v>6</v>
      </c>
      <c r="C28" s="12" t="s">
        <v>6</v>
      </c>
      <c r="D28" s="12" t="s">
        <v>5</v>
      </c>
      <c r="E28" s="12" t="s">
        <v>4</v>
      </c>
      <c r="F28" s="23" t="s">
        <v>3</v>
      </c>
      <c r="G28" s="2"/>
      <c r="H28" s="10">
        <f>COUNTIF($B28:$E28,"S1")</f>
        <v>0</v>
      </c>
      <c r="I28" s="10">
        <f>COUNTIF(B28:E28,"S2")</f>
        <v>1</v>
      </c>
      <c r="J28" s="10">
        <f>COUNTIF(B28:E28,"S3")</f>
        <v>1</v>
      </c>
      <c r="K28" s="10">
        <f>COUNTIF(B28:E28,"OFF")</f>
        <v>2</v>
      </c>
      <c r="L28" s="5"/>
      <c r="M28" s="5"/>
      <c r="N28" s="5"/>
      <c r="O28" s="5"/>
      <c r="R28" s="5"/>
      <c r="S28" s="5"/>
    </row>
    <row r="29" spans="1:19" ht="15">
      <c r="A29" s="13">
        <f>$V$11+26</f>
        <v>46292</v>
      </c>
      <c r="B29" s="12" t="s">
        <v>6</v>
      </c>
      <c r="C29" s="12" t="s">
        <v>6</v>
      </c>
      <c r="D29" s="12" t="s">
        <v>4</v>
      </c>
      <c r="E29" s="28" t="s">
        <v>3</v>
      </c>
      <c r="F29" s="28" t="s">
        <v>5</v>
      </c>
      <c r="G29" s="2"/>
      <c r="H29" s="10">
        <f t="shared" si="1"/>
        <v>1</v>
      </c>
      <c r="I29" s="10">
        <f t="shared" si="2"/>
        <v>1</v>
      </c>
      <c r="J29" s="10">
        <f t="shared" si="3"/>
        <v>1</v>
      </c>
      <c r="K29" s="10">
        <f t="shared" si="4"/>
        <v>2</v>
      </c>
      <c r="L29" s="5"/>
      <c r="M29" s="5"/>
      <c r="N29" s="5"/>
      <c r="O29" s="5"/>
      <c r="R29" s="5"/>
      <c r="S29" s="5"/>
    </row>
    <row r="30" spans="1:19" ht="15">
      <c r="A30" s="11">
        <f>$V$11+27</f>
        <v>46293</v>
      </c>
      <c r="B30" s="12" t="s">
        <v>3</v>
      </c>
      <c r="C30" s="28" t="s">
        <v>4</v>
      </c>
      <c r="D30" s="12" t="s">
        <v>6</v>
      </c>
      <c r="E30" s="12" t="s">
        <v>6</v>
      </c>
      <c r="F30" s="12" t="s">
        <v>5</v>
      </c>
      <c r="G30" s="2"/>
      <c r="H30" s="10">
        <f>COUNTIF($B30:$E30,"S1")</f>
        <v>1</v>
      </c>
      <c r="I30" s="10">
        <f>COUNTIF(B30:E30,"S2")</f>
        <v>1</v>
      </c>
      <c r="J30" s="10">
        <f>COUNTIF(A30:F30,"S3")</f>
        <v>1</v>
      </c>
      <c r="K30" s="10">
        <f>COUNTIF(B30:E30,"OFF")</f>
        <v>2</v>
      </c>
      <c r="L30" s="5"/>
      <c r="M30" s="5"/>
      <c r="N30" s="5"/>
      <c r="O30" s="5"/>
      <c r="R30" s="5"/>
      <c r="S30" s="5"/>
    </row>
    <row r="31" spans="1:19" ht="15">
      <c r="A31" s="11">
        <f>$V$11+28</f>
        <v>46294</v>
      </c>
      <c r="B31" s="12" t="s">
        <v>4</v>
      </c>
      <c r="C31" s="28" t="s">
        <v>3</v>
      </c>
      <c r="D31" s="12" t="s">
        <v>6</v>
      </c>
      <c r="E31" s="12" t="s">
        <v>6</v>
      </c>
      <c r="F31" s="12" t="s">
        <v>5</v>
      </c>
      <c r="H31" s="10">
        <f>COUNTIF($C31:$F31,"S1")</f>
        <v>1</v>
      </c>
      <c r="I31" s="10">
        <f>COUNTIF(A31:F31,"S2")</f>
        <v>1</v>
      </c>
      <c r="J31" s="10">
        <f>COUNTIF(C31:F31,"S3")</f>
        <v>1</v>
      </c>
      <c r="K31" s="10">
        <f>COUNTIF(C31:F31,"OFF")</f>
        <v>2</v>
      </c>
    </row>
    <row r="32" spans="1:19" ht="15">
      <c r="A32" s="11">
        <f>$V$11+29</f>
        <v>46295</v>
      </c>
      <c r="B32" s="23" t="s">
        <v>3</v>
      </c>
      <c r="C32" s="12" t="s">
        <v>4</v>
      </c>
      <c r="D32" s="12" t="s">
        <v>6</v>
      </c>
      <c r="E32" s="12" t="s">
        <v>5</v>
      </c>
      <c r="F32" s="12" t="s">
        <v>6</v>
      </c>
      <c r="H32" s="10">
        <f>COUNTIF($C32:$F32,"S1")</f>
        <v>0</v>
      </c>
      <c r="I32" s="10">
        <f>COUNTIF(C32:F32,"S2")</f>
        <v>1</v>
      </c>
      <c r="J32" s="10">
        <f>COUNTIF(C32:F32,"S3")</f>
        <v>1</v>
      </c>
      <c r="K32" s="10">
        <f>COUNTIF(C32:F32,"OFF")</f>
        <v>2</v>
      </c>
    </row>
  </sheetData>
  <mergeCells count="11">
    <mergeCell ref="S9:U9"/>
    <mergeCell ref="M9:Q9"/>
    <mergeCell ref="N11:Q11"/>
    <mergeCell ref="S11:U11"/>
    <mergeCell ref="N12:Q12"/>
    <mergeCell ref="S12:U12"/>
    <mergeCell ref="N13:Q13"/>
    <mergeCell ref="N10:Q10"/>
    <mergeCell ref="S10:U10"/>
    <mergeCell ref="A1:F1"/>
    <mergeCell ref="H1:K1"/>
  </mergeCells>
  <conditionalFormatting sqref="A1:F1048576">
    <cfRule type="cellIs" dxfId="0" priority="1" operator="equal">
      <formula>"OFF"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SOUTH INDIAN BANK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JENSUN JOJU</dc:creator>
  <cp:lastModifiedBy>JENSUN JOJU</cp:lastModifiedBy>
  <dcterms:created xsi:type="dcterms:W3CDTF">2026-09-02T07:50:47Z</dcterms:created>
  <dcterms:modified xsi:type="dcterms:W3CDTF">2026-09-02T07:53:40Z</dcterms:modified>
</cp:coreProperties>
</file>