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.209.200\ciso\TEAM INFO\Shift Roaster\June 2026\"/>
    </mc:Choice>
  </mc:AlternateContent>
  <xr:revisionPtr revIDLastSave="0" documentId="13_ncr:1_{1A7FE9FD-AAF6-4754-88E4-914133EB1A85}" xr6:coauthVersionLast="47" xr6:coauthVersionMax="47" xr10:uidLastSave="{00000000-0000-0000-0000-000000000000}"/>
  <bookViews>
    <workbookView xWindow="-120" yWindow="-120" windowWidth="20730" windowHeight="11040" xr2:uid="{F4872A3A-DA99-43E1-AA9C-8E5801EBD5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5" i="1"/>
  <c r="J10" i="1"/>
  <c r="J9" i="1"/>
  <c r="J32" i="1"/>
  <c r="I32" i="1"/>
  <c r="H32" i="1"/>
  <c r="A32" i="1"/>
  <c r="J31" i="1"/>
  <c r="I31" i="1"/>
  <c r="H31" i="1"/>
  <c r="A31" i="1"/>
  <c r="J30" i="1"/>
  <c r="I30" i="1"/>
  <c r="H30" i="1"/>
  <c r="A30" i="1"/>
  <c r="J29" i="1"/>
  <c r="I29" i="1"/>
  <c r="H29" i="1"/>
  <c r="A29" i="1"/>
  <c r="J28" i="1"/>
  <c r="I28" i="1"/>
  <c r="H28" i="1"/>
  <c r="A28" i="1"/>
  <c r="J27" i="1"/>
  <c r="I27" i="1"/>
  <c r="H27" i="1"/>
  <c r="A27" i="1"/>
  <c r="J26" i="1"/>
  <c r="I26" i="1"/>
  <c r="H26" i="1"/>
  <c r="A26" i="1"/>
  <c r="J25" i="1"/>
  <c r="I25" i="1"/>
  <c r="H25" i="1"/>
  <c r="A25" i="1"/>
  <c r="J24" i="1"/>
  <c r="I24" i="1"/>
  <c r="H24" i="1"/>
  <c r="A24" i="1"/>
  <c r="J23" i="1"/>
  <c r="I23" i="1"/>
  <c r="H23" i="1"/>
  <c r="A23" i="1"/>
  <c r="J22" i="1"/>
  <c r="I22" i="1"/>
  <c r="H22" i="1"/>
  <c r="A22" i="1"/>
  <c r="J21" i="1"/>
  <c r="I21" i="1"/>
  <c r="H21" i="1"/>
  <c r="A21" i="1"/>
  <c r="J20" i="1"/>
  <c r="I20" i="1"/>
  <c r="H20" i="1"/>
  <c r="A20" i="1"/>
  <c r="J19" i="1"/>
  <c r="I19" i="1"/>
  <c r="H19" i="1"/>
  <c r="A19" i="1"/>
  <c r="J18" i="1"/>
  <c r="I18" i="1"/>
  <c r="H18" i="1"/>
  <c r="A18" i="1"/>
  <c r="J17" i="1"/>
  <c r="I17" i="1"/>
  <c r="H17" i="1"/>
  <c r="A17" i="1"/>
  <c r="J16" i="1"/>
  <c r="I16" i="1"/>
  <c r="H16" i="1"/>
  <c r="A16" i="1"/>
  <c r="J15" i="1"/>
  <c r="I15" i="1"/>
  <c r="A15" i="1"/>
  <c r="J14" i="1"/>
  <c r="I14" i="1"/>
  <c r="H14" i="1"/>
  <c r="A14" i="1"/>
  <c r="J13" i="1"/>
  <c r="I13" i="1"/>
  <c r="A13" i="1"/>
  <c r="U12" i="1"/>
  <c r="J12" i="1"/>
  <c r="I12" i="1"/>
  <c r="H12" i="1"/>
  <c r="A12" i="1"/>
  <c r="J11" i="1"/>
  <c r="I11" i="1"/>
  <c r="H11" i="1"/>
  <c r="A11" i="1"/>
  <c r="I10" i="1"/>
  <c r="H10" i="1"/>
  <c r="A10" i="1"/>
  <c r="I9" i="1"/>
  <c r="H9" i="1"/>
  <c r="A9" i="1"/>
  <c r="J8" i="1"/>
  <c r="I8" i="1"/>
  <c r="H8" i="1"/>
  <c r="A8" i="1"/>
  <c r="J7" i="1"/>
  <c r="I7" i="1"/>
  <c r="H7" i="1"/>
  <c r="A7" i="1"/>
  <c r="Q6" i="1"/>
  <c r="P6" i="1"/>
  <c r="O6" i="1"/>
  <c r="N6" i="1"/>
  <c r="M6" i="1"/>
  <c r="J6" i="1"/>
  <c r="I6" i="1"/>
  <c r="H6" i="1"/>
  <c r="A6" i="1"/>
  <c r="Q5" i="1"/>
  <c r="P5" i="1"/>
  <c r="O5" i="1"/>
  <c r="N5" i="1"/>
  <c r="M5" i="1"/>
  <c r="J5" i="1"/>
  <c r="I5" i="1"/>
  <c r="H5" i="1"/>
  <c r="A5" i="1"/>
  <c r="Q4" i="1"/>
  <c r="P4" i="1"/>
  <c r="O4" i="1"/>
  <c r="N4" i="1"/>
  <c r="M4" i="1"/>
  <c r="J4" i="1"/>
  <c r="I4" i="1"/>
  <c r="H4" i="1"/>
  <c r="A4" i="1"/>
  <c r="Q3" i="1"/>
  <c r="P3" i="1"/>
  <c r="O3" i="1"/>
  <c r="N3" i="1"/>
  <c r="M3" i="1"/>
  <c r="J3" i="1"/>
  <c r="I3" i="1"/>
  <c r="H3" i="1"/>
  <c r="A3" i="1"/>
  <c r="Q2" i="1"/>
  <c r="P2" i="1"/>
  <c r="O2" i="1"/>
  <c r="N2" i="1"/>
  <c r="M2" i="1"/>
  <c r="A1" i="1"/>
  <c r="R5" i="1" l="1"/>
  <c r="R3" i="1"/>
  <c r="R2" i="1"/>
  <c r="R4" i="1"/>
  <c r="R6" i="1"/>
</calcChain>
</file>

<file path=xl/sharedStrings.xml><?xml version="1.0" encoding="utf-8"?>
<sst xmlns="http://schemas.openxmlformats.org/spreadsheetml/2006/main" count="192" uniqueCount="27">
  <si>
    <t>Shift Slots</t>
  </si>
  <si>
    <t>STAFF NAME</t>
  </si>
  <si>
    <t>Total Working Days</t>
  </si>
  <si>
    <t>S1</t>
  </si>
  <si>
    <t>S2</t>
  </si>
  <si>
    <t>S3</t>
  </si>
  <si>
    <t>OFF</t>
  </si>
  <si>
    <t>Total Working Hours</t>
  </si>
  <si>
    <t>Day</t>
  </si>
  <si>
    <t>ASHWIN</t>
  </si>
  <si>
    <t>RAHUL R G</t>
  </si>
  <si>
    <t>HARI</t>
  </si>
  <si>
    <t>Ashrith</t>
  </si>
  <si>
    <t>MANU</t>
  </si>
  <si>
    <t>`</t>
  </si>
  <si>
    <t>Number of holidays</t>
  </si>
  <si>
    <t>Number of working Days</t>
  </si>
  <si>
    <t>Month</t>
  </si>
  <si>
    <t>Total Woking Hours per person</t>
  </si>
  <si>
    <t>Shift Timings</t>
  </si>
  <si>
    <t>Slots</t>
  </si>
  <si>
    <t>Timing</t>
  </si>
  <si>
    <t>07:30 AM to 03:30 PM (08:00 Hrs)</t>
  </si>
  <si>
    <t>01:30 PM to 10:00 PM (08:30 Hrs)</t>
  </si>
  <si>
    <t>09:30PM to 08:00 AM (10:30 Hrs)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</si>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</sst>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-yyyy"/>
    <numFmt numFmtId="165" formatCode="dddd&quot;  -   &quot;mmm\ dd"/>
    <numFmt numFmtId="166" formatCode="[$-409]mmmm\-yy;@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11"/>
      <name val="Aptos Narrow"/>
      <family val="2"/>
      <scheme val="minor"/>
    </font>
    <font>
      <b/>
      <sz val="10"/>
      <color theme="1"/>
      <name val="Arial"/>
      <family val="2"/>
      <charset val="1"/>
    </font>
    <font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2EFF5"/>
        <bgColor rgb="FFFDEADA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EFF5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6" fontId="0" fillId="0" borderId="1" xfId="0" applyNumberFormat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/>
    </xf>
    <xf numFmtId="0" fontId="4" fillId="0" borderId="0" xfId="0" applyFont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1" fillId="0" borderId="3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fill>
        <patternFill>
          <bgColor rgb="FFFF7F7F"/>
        </patternFill>
      </fill>
    </dxf>
    <dxf>
      <font>
        <color rgb="FF9C0006"/>
      </font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CA9B9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872E-F7DC-4D91-8C2D-617695C6598C}">
  <dimension ref="A1:U33"/>
  <sheetViews>
    <sheetView tabSelected="1" topLeftCell="A9" zoomScale="85" zoomScaleNormal="85" workbookViewId="0">
      <selection activeCell="N29" sqref="N29"/>
    </sheetView>
  </sheetViews>
  <sheetFormatPr defaultRowHeight="14.25"/>
  <cols>
    <col min="1" max="1" width="24.125" bestFit="1" customWidth="1"/>
    <col min="12" max="12" width="10.75" bestFit="1" customWidth="1"/>
    <col min="13" max="13" width="15.875" bestFit="1" customWidth="1"/>
    <col min="21" max="21" width="12.125" bestFit="1" customWidth="1"/>
  </cols>
  <sheetData>
    <row r="1" spans="1:21" ht="15">
      <c r="A1" s="33">
        <f>$U$11</f>
        <v>46174</v>
      </c>
      <c r="B1" s="33"/>
      <c r="C1" s="33"/>
      <c r="D1" s="33"/>
      <c r="E1" s="33"/>
      <c r="F1" s="33"/>
      <c r="G1" s="1"/>
      <c r="H1" s="34" t="s">
        <v>0</v>
      </c>
      <c r="I1" s="34"/>
      <c r="J1" s="34"/>
      <c r="K1" s="2"/>
      <c r="L1" s="3" t="s">
        <v>1</v>
      </c>
      <c r="M1" s="4" t="s">
        <v>2</v>
      </c>
      <c r="N1" s="4" t="s">
        <v>3</v>
      </c>
      <c r="O1" s="4" t="s">
        <v>4</v>
      </c>
      <c r="P1" s="4" t="s">
        <v>5</v>
      </c>
      <c r="Q1" s="4" t="s">
        <v>6</v>
      </c>
      <c r="R1" s="4" t="s">
        <v>7</v>
      </c>
    </row>
    <row r="2" spans="1:21" ht="15">
      <c r="A2" s="27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1"/>
      <c r="H2" s="4" t="s">
        <v>3</v>
      </c>
      <c r="I2" s="4" t="s">
        <v>4</v>
      </c>
      <c r="J2" s="4" t="s">
        <v>5</v>
      </c>
      <c r="K2" s="2"/>
      <c r="L2" s="6" t="s">
        <v>9</v>
      </c>
      <c r="M2" s="7">
        <f>$U$10</f>
        <v>24</v>
      </c>
      <c r="N2" s="7">
        <f>COUNTIF($B$3:$B$33,"S1")</f>
        <v>6</v>
      </c>
      <c r="O2" s="7">
        <f>COUNTIF($B$3:$B$33,"S2")</f>
        <v>7</v>
      </c>
      <c r="P2" s="7">
        <f>COUNTIF($B$3:$B$33,"S3")</f>
        <v>6</v>
      </c>
      <c r="Q2" s="7">
        <f>COUNTIF(B$3:B$33,"OFF")</f>
        <v>11</v>
      </c>
      <c r="R2" s="7">
        <f>SUM((N2*8),(O2*8.5),(P2*10.5))</f>
        <v>170.5</v>
      </c>
    </row>
    <row r="3" spans="1:21" ht="15">
      <c r="A3" s="25">
        <f>$U$11</f>
        <v>46174</v>
      </c>
      <c r="B3" s="9" t="s">
        <v>6</v>
      </c>
      <c r="C3" s="9" t="s">
        <v>6</v>
      </c>
      <c r="D3" s="9" t="s">
        <v>3</v>
      </c>
      <c r="E3" s="9" t="s">
        <v>4</v>
      </c>
      <c r="F3" s="9" t="s">
        <v>5</v>
      </c>
      <c r="G3" s="1"/>
      <c r="H3" s="7">
        <f>COUNTIF($B3:$F3,"S1")</f>
        <v>1</v>
      </c>
      <c r="I3" s="7">
        <f>COUNTIF(B3:F3,"S2")</f>
        <v>1</v>
      </c>
      <c r="J3" s="7">
        <f>COUNTIF(B3:F3,"S3")</f>
        <v>1</v>
      </c>
      <c r="K3" s="2"/>
      <c r="L3" s="6" t="s">
        <v>10</v>
      </c>
      <c r="M3" s="7">
        <f>$U$10</f>
        <v>24</v>
      </c>
      <c r="N3" s="7">
        <f>COUNTIF($C$3:$C$33,"S1")</f>
        <v>7</v>
      </c>
      <c r="O3" s="7">
        <f>COUNTIF($C$3:$C$33,"S2")</f>
        <v>6</v>
      </c>
      <c r="P3" s="7">
        <f>COUNTIF($C$3:$C$33,"S3")</f>
        <v>6</v>
      </c>
      <c r="Q3" s="7">
        <f>COUNTIF(C$3:C$33,"OFF")</f>
        <v>11</v>
      </c>
      <c r="R3" s="7">
        <f>SUM((N3*8),(O3*8.5),(P3*10.5))</f>
        <v>170</v>
      </c>
    </row>
    <row r="4" spans="1:21" ht="15">
      <c r="A4" s="26">
        <f>$U$11+1</f>
        <v>46175</v>
      </c>
      <c r="B4" s="9" t="s">
        <v>6</v>
      </c>
      <c r="C4" s="9" t="s">
        <v>6</v>
      </c>
      <c r="D4" s="9" t="s">
        <v>3</v>
      </c>
      <c r="E4" s="9" t="s">
        <v>4</v>
      </c>
      <c r="F4" s="9" t="s">
        <v>5</v>
      </c>
      <c r="G4" s="1" t="s">
        <v>14</v>
      </c>
      <c r="H4" s="7">
        <f>COUNTIF(B4:F4,"S1")</f>
        <v>1</v>
      </c>
      <c r="I4" s="7">
        <f>COUNTIF(B4:F4,"S2")</f>
        <v>1</v>
      </c>
      <c r="J4" s="7">
        <f>COUNTIF(B4:F4,"S3")</f>
        <v>1</v>
      </c>
      <c r="K4" s="2"/>
      <c r="L4" s="6" t="s">
        <v>11</v>
      </c>
      <c r="M4" s="7">
        <f>$U$10</f>
        <v>24</v>
      </c>
      <c r="N4" s="7">
        <f>COUNTIF($D$3:$D$33,"S1")</f>
        <v>7</v>
      </c>
      <c r="O4" s="7">
        <f>COUNTIF($D$3:$D$33,"S2")</f>
        <v>6</v>
      </c>
      <c r="P4" s="7">
        <f>COUNTIF($D$3:$D$33,"S3")</f>
        <v>6</v>
      </c>
      <c r="Q4" s="7">
        <f>COUNTIF(D$3:D$33,"OFF")</f>
        <v>11</v>
      </c>
      <c r="R4" s="7">
        <f>SUM((N4*8),(O4*8.5),(P4*10.5))</f>
        <v>170</v>
      </c>
    </row>
    <row r="5" spans="1:21" ht="15">
      <c r="A5" s="25">
        <f>$U$11+2</f>
        <v>46176</v>
      </c>
      <c r="B5" s="9" t="s">
        <v>6</v>
      </c>
      <c r="C5" s="9" t="s">
        <v>4</v>
      </c>
      <c r="D5" s="9" t="s">
        <v>6</v>
      </c>
      <c r="E5" s="9" t="s">
        <v>3</v>
      </c>
      <c r="F5" s="9" t="s">
        <v>5</v>
      </c>
      <c r="G5" s="1"/>
      <c r="H5" s="7">
        <f>COUNTIF(B5:F5,"S1")</f>
        <v>1</v>
      </c>
      <c r="I5" s="7">
        <f>COUNTIF(B5:F5,"S2")</f>
        <v>1</v>
      </c>
      <c r="J5" s="7">
        <f>COUNTIF(B5:F5,"S3")</f>
        <v>1</v>
      </c>
      <c r="K5" s="2"/>
      <c r="L5" s="6" t="s">
        <v>12</v>
      </c>
      <c r="M5" s="7">
        <f>$U$10</f>
        <v>24</v>
      </c>
      <c r="N5" s="7">
        <f>COUNTIF($E$3:$E$33,"S1")</f>
        <v>7</v>
      </c>
      <c r="O5" s="7">
        <f>COUNTIF($E$3:$E$33,"S2")</f>
        <v>6</v>
      </c>
      <c r="P5" s="7">
        <f>COUNTIF($E$3:$E$33,"S3")</f>
        <v>6</v>
      </c>
      <c r="Q5" s="7">
        <f>COUNTIF(E$3:E$33,"OFF")</f>
        <v>11</v>
      </c>
      <c r="R5" s="7">
        <f>SUM((N5*8),(O5*8.5),(P5*10.5))</f>
        <v>170</v>
      </c>
    </row>
    <row r="6" spans="1:21" ht="15">
      <c r="A6" s="26">
        <f>$U$11+3</f>
        <v>46177</v>
      </c>
      <c r="B6" s="9" t="s">
        <v>4</v>
      </c>
      <c r="C6" s="9" t="s">
        <v>5</v>
      </c>
      <c r="D6" s="9" t="s">
        <v>6</v>
      </c>
      <c r="E6" s="9" t="s">
        <v>3</v>
      </c>
      <c r="F6" s="9" t="s">
        <v>6</v>
      </c>
      <c r="G6" s="10"/>
      <c r="H6" s="7">
        <f>COUNTIF(B6:F6,"S1")</f>
        <v>1</v>
      </c>
      <c r="I6" s="7">
        <f>COUNTIF(B6:F6,"S2")</f>
        <v>1</v>
      </c>
      <c r="J6" s="7">
        <f>COUNTIF(B6:F6,"S3")</f>
        <v>1</v>
      </c>
      <c r="K6" s="2"/>
      <c r="L6" s="6" t="s">
        <v>13</v>
      </c>
      <c r="M6" s="7">
        <f>$U$10</f>
        <v>24</v>
      </c>
      <c r="N6" s="7">
        <f>COUNTIF($F$3:$F$33,"S1")</f>
        <v>5</v>
      </c>
      <c r="O6" s="7">
        <f>COUNTIF($F$3:$F$33,"S2")</f>
        <v>8</v>
      </c>
      <c r="P6" s="7">
        <f>COUNTIF($F$3:$F$33,"S3")</f>
        <v>6</v>
      </c>
      <c r="Q6" s="7">
        <f>COUNTIF(F$3:F$33,"OFF")</f>
        <v>11</v>
      </c>
      <c r="R6" s="7">
        <f>SUM((N6*8),(O6*8.5),(P6*10.5))</f>
        <v>171</v>
      </c>
    </row>
    <row r="7" spans="1:21" ht="15">
      <c r="A7" s="25">
        <f>$U$11+4</f>
        <v>46178</v>
      </c>
      <c r="B7" s="11" t="s">
        <v>6</v>
      </c>
      <c r="C7" s="9" t="s">
        <v>5</v>
      </c>
      <c r="D7" s="9" t="s">
        <v>6</v>
      </c>
      <c r="E7" s="9" t="s">
        <v>3</v>
      </c>
      <c r="F7" s="9" t="s">
        <v>4</v>
      </c>
      <c r="G7" s="10"/>
      <c r="H7" s="7">
        <f t="shared" ref="H7:H8" si="0">COUNTIF(B7:F7,"S1")</f>
        <v>1</v>
      </c>
      <c r="I7" s="7">
        <f t="shared" ref="I7:I16" si="1">COUNTIF(B7:F7,"S2")</f>
        <v>1</v>
      </c>
      <c r="J7" s="7">
        <f t="shared" ref="J7:J32" si="2">COUNTIF(B7:F7,"S3")</f>
        <v>1</v>
      </c>
      <c r="K7" s="2"/>
      <c r="L7" s="2"/>
      <c r="M7" s="2"/>
      <c r="N7" s="2"/>
      <c r="O7" s="2"/>
      <c r="P7" s="2"/>
      <c r="Q7" s="2"/>
      <c r="R7" s="2"/>
    </row>
    <row r="8" spans="1:21" ht="15">
      <c r="A8" s="25">
        <f>$U$11+5</f>
        <v>46179</v>
      </c>
      <c r="B8" s="11" t="s">
        <v>3</v>
      </c>
      <c r="C8" s="9" t="s">
        <v>6</v>
      </c>
      <c r="D8" s="9" t="s">
        <v>4</v>
      </c>
      <c r="E8" s="9" t="s">
        <v>6</v>
      </c>
      <c r="F8" s="12" t="s">
        <v>5</v>
      </c>
      <c r="G8" s="10"/>
      <c r="H8" s="7">
        <f t="shared" si="0"/>
        <v>1</v>
      </c>
      <c r="I8" s="7">
        <f t="shared" si="1"/>
        <v>1</v>
      </c>
      <c r="J8" s="7">
        <f t="shared" si="2"/>
        <v>1</v>
      </c>
      <c r="K8" s="2"/>
      <c r="L8" s="2"/>
      <c r="M8" s="2"/>
      <c r="N8" s="2"/>
      <c r="O8" s="2"/>
      <c r="P8" s="2"/>
      <c r="Q8" s="2"/>
      <c r="R8" s="2"/>
    </row>
    <row r="9" spans="1:21" ht="15">
      <c r="A9" s="8">
        <f>$U$11+6</f>
        <v>46180</v>
      </c>
      <c r="B9" s="11" t="s">
        <v>4</v>
      </c>
      <c r="C9" s="9" t="s">
        <v>6</v>
      </c>
      <c r="D9" s="9" t="s">
        <v>3</v>
      </c>
      <c r="E9" s="9" t="s">
        <v>6</v>
      </c>
      <c r="F9" s="9" t="s">
        <v>5</v>
      </c>
      <c r="G9" s="10"/>
      <c r="H9" s="7">
        <f>COUNTIF(B9:E9,"S1")</f>
        <v>1</v>
      </c>
      <c r="I9" s="7">
        <f>COUNTIF(B9:E9,"S2")</f>
        <v>1</v>
      </c>
      <c r="J9" s="7">
        <f>COUNTIF(B9:F9,"S3")</f>
        <v>1</v>
      </c>
      <c r="K9" s="2"/>
      <c r="Q9" s="2"/>
      <c r="R9" s="32" t="s">
        <v>15</v>
      </c>
      <c r="S9" s="32"/>
      <c r="T9" s="32"/>
      <c r="U9" s="13">
        <v>6</v>
      </c>
    </row>
    <row r="10" spans="1:21" ht="15">
      <c r="A10" s="25">
        <f>$U$11+7</f>
        <v>46181</v>
      </c>
      <c r="B10" s="9" t="s">
        <v>3</v>
      </c>
      <c r="C10" s="9" t="s">
        <v>4</v>
      </c>
      <c r="D10" s="9" t="s">
        <v>6</v>
      </c>
      <c r="E10" s="9" t="s">
        <v>6</v>
      </c>
      <c r="F10" s="12" t="s">
        <v>5</v>
      </c>
      <c r="G10" s="10"/>
      <c r="H10" s="7">
        <f>COUNTIF(B10:E10,"S1")</f>
        <v>1</v>
      </c>
      <c r="I10" s="7">
        <f>COUNTIF(B10:E10,"S2")</f>
        <v>1</v>
      </c>
      <c r="J10" s="7">
        <f>COUNTIF(B10:F10,"S3")</f>
        <v>1</v>
      </c>
      <c r="K10" s="2"/>
      <c r="Q10" s="2"/>
      <c r="R10" s="32" t="s">
        <v>16</v>
      </c>
      <c r="S10" s="32"/>
      <c r="T10" s="32"/>
      <c r="U10" s="14">
        <v>24</v>
      </c>
    </row>
    <row r="11" spans="1:21" ht="15">
      <c r="A11" s="25">
        <f>$U$11+8</f>
        <v>46182</v>
      </c>
      <c r="B11" s="9" t="s">
        <v>5</v>
      </c>
      <c r="C11" s="9" t="s">
        <v>4</v>
      </c>
      <c r="D11" s="9" t="s">
        <v>3</v>
      </c>
      <c r="E11" s="9" t="s">
        <v>3</v>
      </c>
      <c r="F11" s="11" t="s">
        <v>6</v>
      </c>
      <c r="G11" s="10"/>
      <c r="H11" s="7">
        <f>COUNTIF(B11:E11,"S1")</f>
        <v>2</v>
      </c>
      <c r="I11" s="7">
        <f>COUNTIF(B11:E11,"S2")</f>
        <v>1</v>
      </c>
      <c r="J11" s="7">
        <f>COUNTIF(B11:E11,"S3")</f>
        <v>1</v>
      </c>
      <c r="K11" s="2"/>
      <c r="Q11" s="2"/>
      <c r="R11" s="32" t="s">
        <v>17</v>
      </c>
      <c r="S11" s="32"/>
      <c r="T11" s="32"/>
      <c r="U11" s="15">
        <v>46174</v>
      </c>
    </row>
    <row r="12" spans="1:21" ht="15">
      <c r="A12" s="26">
        <f>$U$11+9</f>
        <v>46183</v>
      </c>
      <c r="B12" s="9" t="s">
        <v>5</v>
      </c>
      <c r="C12" s="9" t="s">
        <v>3</v>
      </c>
      <c r="D12" s="9" t="s">
        <v>6</v>
      </c>
      <c r="E12" s="9" t="s">
        <v>4</v>
      </c>
      <c r="F12" s="9" t="s">
        <v>4</v>
      </c>
      <c r="G12" s="10"/>
      <c r="H12" s="7">
        <f>COUNTIF(B12:F12,"S1")</f>
        <v>1</v>
      </c>
      <c r="I12" s="7">
        <f>COUNTIF(B12:F12,"S2")</f>
        <v>2</v>
      </c>
      <c r="J12" s="7">
        <f>COUNTIF(B12:F12,"S3")</f>
        <v>1</v>
      </c>
      <c r="K12" s="2"/>
      <c r="Q12" s="2"/>
      <c r="R12" s="32" t="s">
        <v>18</v>
      </c>
      <c r="S12" s="32"/>
      <c r="T12" s="32"/>
      <c r="U12" s="7">
        <f>U10*7</f>
        <v>168</v>
      </c>
    </row>
    <row r="13" spans="1:21" ht="15">
      <c r="A13" s="26">
        <f>$U$11+10</f>
        <v>46184</v>
      </c>
      <c r="B13" s="16" t="s">
        <v>5</v>
      </c>
      <c r="C13" s="17" t="s">
        <v>3</v>
      </c>
      <c r="D13" s="9" t="s">
        <v>6</v>
      </c>
      <c r="E13" s="9" t="s">
        <v>6</v>
      </c>
      <c r="F13" s="9" t="s">
        <v>4</v>
      </c>
      <c r="G13" s="1"/>
      <c r="H13" s="7">
        <f>COUNTIF(B13:F13,"S1")</f>
        <v>1</v>
      </c>
      <c r="I13" s="7">
        <f>COUNTIF(B13:F13,"S2")</f>
        <v>1</v>
      </c>
      <c r="J13" s="7">
        <f>COUNTIF(B13:F13,"S3")</f>
        <v>1</v>
      </c>
      <c r="K13" s="2"/>
      <c r="Q13" s="2"/>
    </row>
    <row r="14" spans="1:21" ht="15">
      <c r="A14" s="25">
        <f>$U$11+11</f>
        <v>46185</v>
      </c>
      <c r="B14" s="9" t="s">
        <v>6</v>
      </c>
      <c r="C14" s="17" t="s">
        <v>4</v>
      </c>
      <c r="D14" s="18" t="s">
        <v>3</v>
      </c>
      <c r="E14" s="9" t="s">
        <v>5</v>
      </c>
      <c r="F14" s="9" t="s">
        <v>4</v>
      </c>
      <c r="G14" s="1"/>
      <c r="H14" s="7">
        <f>COUNTIF(B14:F14,"S1")</f>
        <v>1</v>
      </c>
      <c r="I14" s="7">
        <f>COUNTIF(B14:F14,"S2")</f>
        <v>2</v>
      </c>
      <c r="J14" s="7">
        <f>COUNTIF(B14:F14,"S3")</f>
        <v>1</v>
      </c>
      <c r="K14" s="2"/>
      <c r="L14" s="2"/>
      <c r="M14" s="2"/>
      <c r="N14" s="2"/>
      <c r="O14" s="2"/>
      <c r="P14" s="2"/>
      <c r="Q14" s="30" t="s">
        <v>19</v>
      </c>
      <c r="R14" s="30"/>
      <c r="S14" s="30"/>
      <c r="T14" s="30"/>
      <c r="U14" s="30"/>
    </row>
    <row r="15" spans="1:21" ht="15">
      <c r="A15" s="8">
        <f>$U$11+12</f>
        <v>46186</v>
      </c>
      <c r="B15" s="19" t="s">
        <v>6</v>
      </c>
      <c r="C15" s="11" t="s">
        <v>6</v>
      </c>
      <c r="D15" s="18" t="s">
        <v>4</v>
      </c>
      <c r="E15" s="9" t="s">
        <v>5</v>
      </c>
      <c r="F15" s="9" t="s">
        <v>3</v>
      </c>
      <c r="G15" s="1"/>
      <c r="H15" s="7">
        <f>COUNTIF(B15:F15,"S1")</f>
        <v>1</v>
      </c>
      <c r="I15" s="7">
        <f>COUNTIF(B15:F15,"S2")</f>
        <v>1</v>
      </c>
      <c r="J15" s="7">
        <f t="shared" si="2"/>
        <v>1</v>
      </c>
      <c r="K15" s="2"/>
      <c r="L15" s="2"/>
      <c r="Q15" s="4" t="s">
        <v>20</v>
      </c>
      <c r="R15" s="30" t="s">
        <v>21</v>
      </c>
      <c r="S15" s="30"/>
      <c r="T15" s="30"/>
      <c r="U15" s="30"/>
    </row>
    <row r="16" spans="1:21" ht="15">
      <c r="A16" s="8">
        <f>$U$11+13</f>
        <v>46187</v>
      </c>
      <c r="B16" s="9" t="s">
        <v>6</v>
      </c>
      <c r="C16" s="9" t="s">
        <v>6</v>
      </c>
      <c r="D16" s="18" t="s">
        <v>4</v>
      </c>
      <c r="E16" s="9" t="s">
        <v>5</v>
      </c>
      <c r="F16" s="11" t="s">
        <v>3</v>
      </c>
      <c r="G16" s="1"/>
      <c r="H16" s="7">
        <f t="shared" ref="H16:H32" si="3">COUNTIF(B16:F16,"S1")</f>
        <v>1</v>
      </c>
      <c r="I16" s="7">
        <f t="shared" si="1"/>
        <v>1</v>
      </c>
      <c r="J16" s="7">
        <f t="shared" si="2"/>
        <v>1</v>
      </c>
      <c r="K16" s="2"/>
      <c r="L16" s="2"/>
      <c r="Q16" s="7" t="s">
        <v>3</v>
      </c>
      <c r="R16" s="31" t="s">
        <v>22</v>
      </c>
      <c r="S16" s="31"/>
      <c r="T16" s="31"/>
      <c r="U16" s="31"/>
    </row>
    <row r="17" spans="1:21" ht="15">
      <c r="A17" s="25">
        <f>$U$11+14</f>
        <v>46188</v>
      </c>
      <c r="B17" s="9" t="s">
        <v>3</v>
      </c>
      <c r="C17" s="18" t="s">
        <v>6</v>
      </c>
      <c r="D17" s="18" t="s">
        <v>5</v>
      </c>
      <c r="E17" s="9" t="s">
        <v>6</v>
      </c>
      <c r="F17" s="9" t="s">
        <v>4</v>
      </c>
      <c r="G17" s="1"/>
      <c r="H17" s="7">
        <f>COUNTIF(B17:F17,"S1")</f>
        <v>1</v>
      </c>
      <c r="I17" s="7">
        <f>COUNTIF(B17:F17,"S2")</f>
        <v>1</v>
      </c>
      <c r="J17" s="7">
        <f>COUNTIF(B17:F17,"S3")</f>
        <v>1</v>
      </c>
      <c r="K17" s="2"/>
      <c r="L17" s="2"/>
      <c r="Q17" s="7" t="s">
        <v>4</v>
      </c>
      <c r="R17" s="31" t="s">
        <v>23</v>
      </c>
      <c r="S17" s="31"/>
      <c r="T17" s="31"/>
      <c r="U17" s="31"/>
    </row>
    <row r="18" spans="1:21" ht="15">
      <c r="A18" s="25">
        <f>$U$11+15</f>
        <v>46189</v>
      </c>
      <c r="B18" s="9" t="s">
        <v>6</v>
      </c>
      <c r="C18" s="18" t="s">
        <v>4</v>
      </c>
      <c r="D18" s="18" t="s">
        <v>6</v>
      </c>
      <c r="E18" s="9" t="s">
        <v>5</v>
      </c>
      <c r="F18" s="9" t="s">
        <v>3</v>
      </c>
      <c r="G18" s="1"/>
      <c r="H18" s="7">
        <f t="shared" si="3"/>
        <v>1</v>
      </c>
      <c r="I18" s="7">
        <f>COUNTIF(B18:F18,"S2")</f>
        <v>1</v>
      </c>
      <c r="J18" s="7">
        <f t="shared" si="2"/>
        <v>1</v>
      </c>
      <c r="K18" s="2"/>
      <c r="L18" s="2"/>
      <c r="Q18" s="7" t="s">
        <v>5</v>
      </c>
      <c r="R18" s="31" t="s">
        <v>24</v>
      </c>
      <c r="S18" s="31"/>
      <c r="T18" s="31"/>
      <c r="U18" s="31"/>
    </row>
    <row r="19" spans="1:21" ht="15">
      <c r="A19" s="25">
        <f>$U$11+16</f>
        <v>46190</v>
      </c>
      <c r="B19" s="9" t="s">
        <v>4</v>
      </c>
      <c r="C19" s="18" t="s">
        <v>5</v>
      </c>
      <c r="D19" s="18" t="s">
        <v>3</v>
      </c>
      <c r="E19" s="18" t="s">
        <v>6</v>
      </c>
      <c r="F19" s="9" t="s">
        <v>6</v>
      </c>
      <c r="G19" s="1"/>
      <c r="H19" s="7">
        <f t="shared" si="3"/>
        <v>1</v>
      </c>
      <c r="I19" s="7">
        <f t="shared" ref="I19:I21" si="4">COUNTIF(B19:F19,"S2")</f>
        <v>1</v>
      </c>
      <c r="J19" s="7">
        <f t="shared" si="2"/>
        <v>1</v>
      </c>
      <c r="K19" s="2"/>
      <c r="L19" s="2"/>
      <c r="M19" s="2"/>
      <c r="N19" s="2"/>
      <c r="O19" s="2"/>
      <c r="P19" s="2"/>
      <c r="Q19" s="2"/>
      <c r="R19" s="2"/>
    </row>
    <row r="20" spans="1:21" ht="15">
      <c r="A20" s="26">
        <f>$U$11+17</f>
        <v>46191</v>
      </c>
      <c r="B20" s="18" t="s">
        <v>6</v>
      </c>
      <c r="C20" s="9" t="s">
        <v>5</v>
      </c>
      <c r="D20" s="18" t="s">
        <v>4</v>
      </c>
      <c r="E20" s="9" t="s">
        <v>3</v>
      </c>
      <c r="F20" s="9" t="s">
        <v>6</v>
      </c>
      <c r="G20" s="1"/>
      <c r="H20" s="7">
        <f t="shared" si="3"/>
        <v>1</v>
      </c>
      <c r="I20" s="7">
        <f t="shared" si="4"/>
        <v>1</v>
      </c>
      <c r="J20" s="7">
        <f t="shared" si="2"/>
        <v>1</v>
      </c>
      <c r="K20" s="2"/>
      <c r="L20" s="2"/>
      <c r="M20" s="2"/>
      <c r="N20" s="2"/>
      <c r="O20" s="2"/>
      <c r="P20" s="2"/>
      <c r="Q20" s="2"/>
      <c r="R20" s="2"/>
    </row>
    <row r="21" spans="1:21" ht="15">
      <c r="A21" s="25">
        <f>$U$11+18</f>
        <v>46192</v>
      </c>
      <c r="B21" s="18" t="s">
        <v>3</v>
      </c>
      <c r="C21" s="18" t="s">
        <v>5</v>
      </c>
      <c r="D21" s="18" t="s">
        <v>4</v>
      </c>
      <c r="E21" s="16" t="s">
        <v>6</v>
      </c>
      <c r="F21" s="9" t="s">
        <v>6</v>
      </c>
      <c r="G21" s="1"/>
      <c r="H21" s="7">
        <f t="shared" si="3"/>
        <v>1</v>
      </c>
      <c r="I21" s="7">
        <f t="shared" si="4"/>
        <v>1</v>
      </c>
      <c r="J21" s="7">
        <f t="shared" si="2"/>
        <v>1</v>
      </c>
      <c r="K21" s="2"/>
      <c r="L21" s="2"/>
      <c r="M21" s="2"/>
      <c r="N21" s="2"/>
      <c r="O21" s="2"/>
      <c r="P21" s="2"/>
      <c r="Q21" s="2"/>
      <c r="R21" s="2"/>
    </row>
    <row r="22" spans="1:21" ht="15">
      <c r="A22" s="25">
        <f>$U$11+19</f>
        <v>46193</v>
      </c>
      <c r="B22" s="18" t="s">
        <v>4</v>
      </c>
      <c r="C22" s="9" t="s">
        <v>6</v>
      </c>
      <c r="D22" s="18" t="s">
        <v>5</v>
      </c>
      <c r="E22" s="18" t="s">
        <v>6</v>
      </c>
      <c r="F22" s="9" t="s">
        <v>3</v>
      </c>
      <c r="G22" s="1"/>
      <c r="H22" s="7">
        <f t="shared" ref="H22:H27" si="5">COUNTIF(B22:F22,"S1")</f>
        <v>1</v>
      </c>
      <c r="I22" s="7">
        <f t="shared" ref="I22:I27" si="6">COUNTIF(B22:F22,"S2")</f>
        <v>1</v>
      </c>
      <c r="J22" s="7">
        <f t="shared" ref="J22:J27" si="7">COUNTIF(B22:F22,"S3")</f>
        <v>1</v>
      </c>
      <c r="K22" s="2"/>
      <c r="L22" s="2"/>
      <c r="M22" s="2"/>
      <c r="N22" s="2"/>
      <c r="O22" s="2"/>
      <c r="P22" s="2"/>
      <c r="Q22" s="2"/>
      <c r="R22" s="2"/>
    </row>
    <row r="23" spans="1:21" ht="15">
      <c r="A23" s="8">
        <f>$U$11+20</f>
        <v>46194</v>
      </c>
      <c r="B23" s="9" t="s">
        <v>4</v>
      </c>
      <c r="C23" s="18" t="s">
        <v>3</v>
      </c>
      <c r="D23" s="19" t="s">
        <v>5</v>
      </c>
      <c r="E23" s="9" t="s">
        <v>6</v>
      </c>
      <c r="F23" s="9" t="s">
        <v>6</v>
      </c>
      <c r="G23" s="1"/>
      <c r="H23" s="7">
        <f t="shared" si="5"/>
        <v>1</v>
      </c>
      <c r="I23" s="7">
        <f t="shared" si="6"/>
        <v>1</v>
      </c>
      <c r="J23" s="7">
        <f t="shared" si="7"/>
        <v>1</v>
      </c>
      <c r="K23" s="2"/>
      <c r="L23" s="2"/>
      <c r="M23" s="2"/>
      <c r="N23" s="2"/>
      <c r="O23" s="1"/>
      <c r="P23" s="20"/>
      <c r="Q23" s="1"/>
      <c r="R23" s="2"/>
      <c r="S23" s="2"/>
      <c r="T23" s="2"/>
      <c r="U23" s="2"/>
    </row>
    <row r="24" spans="1:21" ht="15">
      <c r="A24" s="25">
        <f>$U$11+21</f>
        <v>46195</v>
      </c>
      <c r="B24" s="9" t="s">
        <v>5</v>
      </c>
      <c r="C24" s="9" t="s">
        <v>3</v>
      </c>
      <c r="D24" s="19" t="s">
        <v>6</v>
      </c>
      <c r="E24" s="9" t="s">
        <v>4</v>
      </c>
      <c r="F24" s="9" t="s">
        <v>6</v>
      </c>
      <c r="G24" s="1"/>
      <c r="H24" s="7">
        <f t="shared" si="5"/>
        <v>1</v>
      </c>
      <c r="I24" s="7">
        <f t="shared" si="6"/>
        <v>1</v>
      </c>
      <c r="J24" s="7">
        <f t="shared" si="7"/>
        <v>1</v>
      </c>
      <c r="K24" s="2"/>
      <c r="L24" s="2"/>
      <c r="M24" s="2"/>
      <c r="N24" s="2"/>
      <c r="O24" s="1"/>
      <c r="P24" s="20"/>
      <c r="Q24" s="21"/>
      <c r="R24" s="2"/>
      <c r="S24" s="2"/>
      <c r="T24" s="2"/>
      <c r="U24" s="2"/>
    </row>
    <row r="25" spans="1:21" ht="15">
      <c r="A25" s="25">
        <f>$U$11+22</f>
        <v>46196</v>
      </c>
      <c r="B25" s="18" t="s">
        <v>5</v>
      </c>
      <c r="C25" s="9" t="s">
        <v>3</v>
      </c>
      <c r="D25" s="19" t="s">
        <v>6</v>
      </c>
      <c r="E25" s="9" t="s">
        <v>4</v>
      </c>
      <c r="F25" s="9" t="s">
        <v>6</v>
      </c>
      <c r="G25" s="1"/>
      <c r="H25" s="7">
        <f t="shared" si="5"/>
        <v>1</v>
      </c>
      <c r="I25" s="7">
        <f t="shared" si="6"/>
        <v>1</v>
      </c>
      <c r="J25" s="7">
        <f t="shared" si="7"/>
        <v>1</v>
      </c>
      <c r="K25" s="2"/>
      <c r="L25" s="2"/>
      <c r="M25" s="2"/>
      <c r="N25" s="2"/>
      <c r="O25" s="1"/>
      <c r="P25" s="20"/>
      <c r="Q25" s="21"/>
      <c r="R25" s="2"/>
      <c r="S25" s="2"/>
      <c r="T25" s="2"/>
      <c r="U25" s="2"/>
    </row>
    <row r="26" spans="1:21" ht="15">
      <c r="A26" s="25">
        <f>$U$11+23</f>
        <v>46197</v>
      </c>
      <c r="B26" s="9" t="s">
        <v>5</v>
      </c>
      <c r="C26" s="9" t="s">
        <v>3</v>
      </c>
      <c r="D26" s="9" t="s">
        <v>4</v>
      </c>
      <c r="E26" s="9" t="s">
        <v>6</v>
      </c>
      <c r="F26" s="9" t="s">
        <v>3</v>
      </c>
      <c r="G26" s="1"/>
      <c r="H26" s="7">
        <f t="shared" si="5"/>
        <v>2</v>
      </c>
      <c r="I26" s="7">
        <f t="shared" si="6"/>
        <v>1</v>
      </c>
      <c r="J26" s="7">
        <f t="shared" si="7"/>
        <v>1</v>
      </c>
      <c r="K26" s="2"/>
      <c r="L26" s="2"/>
      <c r="M26" s="2"/>
      <c r="N26" s="2"/>
      <c r="O26" s="1"/>
      <c r="P26" s="20"/>
      <c r="Q26" s="21"/>
      <c r="T26" s="2"/>
      <c r="U26" s="2"/>
    </row>
    <row r="27" spans="1:21" ht="15">
      <c r="A27" s="25">
        <f>$U$11+24</f>
        <v>46198</v>
      </c>
      <c r="B27" s="9" t="s">
        <v>6</v>
      </c>
      <c r="C27" s="9" t="s">
        <v>3</v>
      </c>
      <c r="D27" s="18" t="s">
        <v>5</v>
      </c>
      <c r="E27" s="11" t="s">
        <v>4</v>
      </c>
      <c r="F27" s="9" t="s">
        <v>6</v>
      </c>
      <c r="G27" s="1"/>
      <c r="H27" s="7">
        <f t="shared" si="5"/>
        <v>1</v>
      </c>
      <c r="I27" s="7">
        <f t="shared" si="6"/>
        <v>1</v>
      </c>
      <c r="J27" s="7">
        <f t="shared" si="7"/>
        <v>1</v>
      </c>
      <c r="K27" s="2"/>
      <c r="L27" s="2"/>
      <c r="M27" s="2"/>
      <c r="N27" s="2"/>
      <c r="O27" s="1"/>
      <c r="P27" s="20"/>
      <c r="Q27" s="1"/>
      <c r="T27" s="2"/>
      <c r="U27" s="2"/>
    </row>
    <row r="28" spans="1:21" ht="15">
      <c r="A28" s="25">
        <f>$U$11+25</f>
        <v>46199</v>
      </c>
      <c r="B28" s="18" t="s">
        <v>4</v>
      </c>
      <c r="C28" s="9" t="s">
        <v>6</v>
      </c>
      <c r="D28" s="18" t="s">
        <v>5</v>
      </c>
      <c r="E28" s="18" t="s">
        <v>3</v>
      </c>
      <c r="F28" s="18" t="s">
        <v>6</v>
      </c>
      <c r="G28" s="1"/>
      <c r="H28" s="7">
        <f t="shared" si="3"/>
        <v>1</v>
      </c>
      <c r="I28" s="7">
        <f t="shared" ref="I28:I32" si="8">COUNTIF(B28:F28,"S2")</f>
        <v>1</v>
      </c>
      <c r="J28" s="7">
        <f t="shared" si="2"/>
        <v>1</v>
      </c>
      <c r="K28" s="2"/>
      <c r="L28" s="2"/>
      <c r="M28" s="2"/>
      <c r="N28" s="2"/>
      <c r="Q28" s="2"/>
      <c r="R28" s="2"/>
    </row>
    <row r="29" spans="1:21" ht="15">
      <c r="A29" s="8">
        <f>$U$11+26</f>
        <v>46200</v>
      </c>
      <c r="B29" s="9" t="s">
        <v>4</v>
      </c>
      <c r="C29" s="9" t="s">
        <v>6</v>
      </c>
      <c r="D29" s="19" t="s">
        <v>5</v>
      </c>
      <c r="E29" s="9" t="s">
        <v>3</v>
      </c>
      <c r="F29" s="9" t="s">
        <v>6</v>
      </c>
      <c r="G29" s="1"/>
      <c r="H29" s="7">
        <f t="shared" si="3"/>
        <v>1</v>
      </c>
      <c r="I29" s="7">
        <f t="shared" si="8"/>
        <v>1</v>
      </c>
      <c r="J29" s="7">
        <f t="shared" si="2"/>
        <v>1</v>
      </c>
      <c r="K29" s="2"/>
      <c r="L29" s="2"/>
      <c r="M29" s="2"/>
      <c r="N29" s="2"/>
      <c r="Q29" s="2"/>
      <c r="R29" s="2"/>
    </row>
    <row r="30" spans="1:21" ht="15">
      <c r="A30" s="8">
        <f>$U$11+27</f>
        <v>46201</v>
      </c>
      <c r="B30" s="11" t="s">
        <v>3</v>
      </c>
      <c r="C30" s="18" t="s">
        <v>6</v>
      </c>
      <c r="D30" s="9" t="s">
        <v>6</v>
      </c>
      <c r="E30" s="18" t="s">
        <v>5</v>
      </c>
      <c r="F30" s="9" t="s">
        <v>4</v>
      </c>
      <c r="G30" s="1"/>
      <c r="H30" s="7">
        <f t="shared" si="3"/>
        <v>1</v>
      </c>
      <c r="I30" s="7">
        <f t="shared" si="8"/>
        <v>1</v>
      </c>
      <c r="J30" s="7">
        <f t="shared" si="2"/>
        <v>1</v>
      </c>
      <c r="K30" s="2"/>
      <c r="L30" s="2"/>
      <c r="M30" s="2"/>
      <c r="N30" s="2"/>
      <c r="Q30" s="2"/>
      <c r="R30" s="2"/>
    </row>
    <row r="31" spans="1:21" ht="15">
      <c r="A31" s="28">
        <f>$U$11+28</f>
        <v>46202</v>
      </c>
      <c r="B31" s="11" t="s">
        <v>3</v>
      </c>
      <c r="C31" s="9" t="s">
        <v>4</v>
      </c>
      <c r="D31" s="11" t="s">
        <v>6</v>
      </c>
      <c r="E31" s="18" t="s">
        <v>5</v>
      </c>
      <c r="F31" s="22" t="s">
        <v>4</v>
      </c>
      <c r="G31" s="1"/>
      <c r="H31" s="7">
        <f t="shared" si="3"/>
        <v>1</v>
      </c>
      <c r="I31" s="7">
        <f t="shared" si="8"/>
        <v>2</v>
      </c>
      <c r="J31" s="7">
        <f t="shared" si="2"/>
        <v>1</v>
      </c>
      <c r="K31" s="2"/>
      <c r="L31" s="2"/>
      <c r="M31" s="2"/>
      <c r="N31" s="2"/>
      <c r="O31" s="2"/>
      <c r="P31" s="2"/>
      <c r="Q31" s="2"/>
      <c r="R31" s="2"/>
    </row>
    <row r="32" spans="1:21" ht="15">
      <c r="A32" s="25">
        <f>$U$11+29</f>
        <v>46203</v>
      </c>
      <c r="B32" s="9" t="s">
        <v>6</v>
      </c>
      <c r="C32" s="23" t="s">
        <v>5</v>
      </c>
      <c r="D32" s="9" t="s">
        <v>3</v>
      </c>
      <c r="E32" s="19" t="s">
        <v>6</v>
      </c>
      <c r="F32" s="9" t="s">
        <v>4</v>
      </c>
      <c r="G32" s="1"/>
      <c r="H32" s="7">
        <f t="shared" si="3"/>
        <v>1</v>
      </c>
      <c r="I32" s="7">
        <f t="shared" si="8"/>
        <v>1</v>
      </c>
      <c r="J32" s="7">
        <f t="shared" si="2"/>
        <v>1</v>
      </c>
      <c r="K32" s="2"/>
      <c r="L32" s="2"/>
      <c r="M32" s="2"/>
      <c r="N32" s="2"/>
      <c r="O32" s="2"/>
      <c r="P32" s="2"/>
      <c r="Q32" s="2"/>
      <c r="R32" s="2"/>
    </row>
    <row r="33" spans="1:18" ht="15">
      <c r="A33" s="29" t="s">
        <v>25</v>
      </c>
      <c r="B33" s="24" t="s">
        <v>26</v>
      </c>
      <c r="C33" s="24" t="s">
        <v>25</v>
      </c>
      <c r="D33" s="24" t="s">
        <v>25</v>
      </c>
      <c r="E33" s="24" t="s">
        <v>25</v>
      </c>
      <c r="F33" s="24" t="s">
        <v>25</v>
      </c>
      <c r="G33" s="1"/>
      <c r="K33" s="2"/>
      <c r="L33" s="2"/>
      <c r="M33" s="2"/>
      <c r="N33" s="2"/>
      <c r="O33" s="2"/>
      <c r="P33" s="2"/>
      <c r="Q33" s="2"/>
      <c r="R33" s="2"/>
    </row>
  </sheetData>
  <mergeCells count="11">
    <mergeCell ref="R12:T12"/>
    <mergeCell ref="A1:F1"/>
    <mergeCell ref="H1:J1"/>
    <mergeCell ref="R9:T9"/>
    <mergeCell ref="R10:T10"/>
    <mergeCell ref="R11:T11"/>
    <mergeCell ref="Q14:U14"/>
    <mergeCell ref="R15:U15"/>
    <mergeCell ref="R16:U16"/>
    <mergeCell ref="R17:U17"/>
    <mergeCell ref="R18:U18"/>
  </mergeCells>
  <conditionalFormatting sqref="A20">
    <cfRule type="containsText" dxfId="28" priority="37" operator="containsText" text="Sunday">
      <formula>NOT(ISERROR(SEARCH("Sunday",A20)))</formula>
    </cfRule>
  </conditionalFormatting>
  <conditionalFormatting sqref="B3:B27">
    <cfRule type="cellIs" dxfId="27" priority="25" operator="lessThan">
      <formula>1</formula>
    </cfRule>
    <cfRule type="cellIs" dxfId="26" priority="26" operator="equal">
      <formula>"OFF"</formula>
    </cfRule>
  </conditionalFormatting>
  <conditionalFormatting sqref="B23:B32 D3:F22 C23:F25 D26:F32 B33:F33">
    <cfRule type="cellIs" dxfId="25" priority="42" operator="lessThan">
      <formula>1</formula>
    </cfRule>
  </conditionalFormatting>
  <conditionalFormatting sqref="B26:B27">
    <cfRule type="cellIs" dxfId="24" priority="29" operator="lessThan">
      <formula>1</formula>
    </cfRule>
    <cfRule type="cellIs" dxfId="23" priority="30" operator="equal">
      <formula>"OFF"</formula>
    </cfRule>
  </conditionalFormatting>
  <conditionalFormatting sqref="C3:C12">
    <cfRule type="cellIs" dxfId="22" priority="9" operator="lessThan">
      <formula>1</formula>
    </cfRule>
    <cfRule type="cellIs" dxfId="21" priority="10" operator="equal">
      <formula>"OFF"</formula>
    </cfRule>
  </conditionalFormatting>
  <conditionalFormatting sqref="C15:C22">
    <cfRule type="cellIs" dxfId="20" priority="3" operator="lessThan">
      <formula>1</formula>
    </cfRule>
    <cfRule type="cellIs" dxfId="19" priority="4" operator="equal">
      <formula>"OFF"</formula>
    </cfRule>
  </conditionalFormatting>
  <conditionalFormatting sqref="C22">
    <cfRule type="cellIs" dxfId="18" priority="1" operator="lessThan">
      <formula>1</formula>
    </cfRule>
    <cfRule type="cellIs" dxfId="17" priority="2" operator="equal">
      <formula>"OFF"</formula>
    </cfRule>
  </conditionalFormatting>
  <conditionalFormatting sqref="C26">
    <cfRule type="cellIs" dxfId="16" priority="13" operator="lessThan">
      <formula>1</formula>
    </cfRule>
    <cfRule type="cellIs" dxfId="15" priority="14" operator="equal">
      <formula>"OFF"</formula>
    </cfRule>
    <cfRule type="cellIs" dxfId="14" priority="15" operator="lessThan">
      <formula>1</formula>
    </cfRule>
    <cfRule type="cellIs" dxfId="13" priority="16" operator="equal">
      <formula>"OFF"</formula>
    </cfRule>
  </conditionalFormatting>
  <conditionalFormatting sqref="C26:C30">
    <cfRule type="cellIs" dxfId="12" priority="17" operator="lessThan">
      <formula>1</formula>
    </cfRule>
    <cfRule type="cellIs" dxfId="11" priority="18" operator="equal">
      <formula>"OFF"</formula>
    </cfRule>
  </conditionalFormatting>
  <conditionalFormatting sqref="C28:C30">
    <cfRule type="cellIs" dxfId="10" priority="31" operator="lessThan">
      <formula>1</formula>
    </cfRule>
    <cfRule type="cellIs" dxfId="9" priority="32" operator="equal">
      <formula>"OFF"</formula>
    </cfRule>
  </conditionalFormatting>
  <conditionalFormatting sqref="C31">
    <cfRule type="cellIs" dxfId="8" priority="11" operator="lessThan">
      <formula>1</formula>
    </cfRule>
    <cfRule type="cellIs" dxfId="7" priority="12" operator="equal">
      <formula>"OFF"</formula>
    </cfRule>
  </conditionalFormatting>
  <conditionalFormatting sqref="D3:F22 C23:F25 B23:B32 D26:F32 B33:F33">
    <cfRule type="cellIs" dxfId="6" priority="43" operator="equal">
      <formula>"OFF"</formula>
    </cfRule>
  </conditionalFormatting>
  <conditionalFormatting sqref="F25:F27">
    <cfRule type="cellIs" dxfId="5" priority="44" operator="lessThan">
      <formula>1</formula>
    </cfRule>
    <cfRule type="cellIs" dxfId="4" priority="45" operator="equal">
      <formula>"OFF"</formula>
    </cfRule>
  </conditionalFormatting>
  <conditionalFormatting sqref="H3:J32">
    <cfRule type="cellIs" dxfId="3" priority="39" operator="lessThan">
      <formula>1</formula>
    </cfRule>
    <cfRule type="cellIs" dxfId="2" priority="40" operator="greaterThan">
      <formula>1</formula>
    </cfRule>
  </conditionalFormatting>
  <conditionalFormatting sqref="R2:R6">
    <cfRule type="cellIs" dxfId="1" priority="41" operator="lessThan">
      <formula>$U$12</formula>
    </cfRule>
  </conditionalFormatting>
  <conditionalFormatting sqref="U9:U11">
    <cfRule type="cellIs" dxfId="0" priority="38" operator="less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B461-926F-4EE3-8D52-3E9F209FCC48}">
  <dimension ref="A1"/>
  <sheetViews>
    <sheetView workbookViewId="0">
      <selection activeCell="I24" sqref="I24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THE SOUTH INDIAN BANK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</dc:creator>
  <cp:lastModifiedBy>HARIKUMAR H</cp:lastModifiedBy>
  <dcterms:created xsi:type="dcterms:W3CDTF">2026-03-30T15:56:30Z</dcterms:created>
  <dcterms:modified xsi:type="dcterms:W3CDTF">2026-06-01T03:56:29Z</dcterms:modified>
</cp:coreProperties>
</file>